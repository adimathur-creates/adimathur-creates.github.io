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odel" sheetId="3" state="visible" r:id="rId5"/>
    <sheet name="Case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<sst xmlns="http://schemas.openxmlformats.org/spreadsheetml/2006/main" count="216" uniqueCount="168">
  <si>
    <t xml:space="preserve">India UPI MDR revenue pool: sizing model</t>
  </si>
  <si>
    <t xml:space="preserve">Prepared by Aditya Mathur, October 2026. Independent work, not affiliated with Redseer, NPCI or any company named.</t>
  </si>
  <si>
    <t xml:space="preserve">Question</t>
  </si>
  <si>
    <t xml:space="preserve">From 15 Oct 2026, merchants pay 0.4% MDR on UPI P2M payments above ₹2,000, with exemptions. How large is the annual revenue pool, how much do the exemptions remove, and which assumptions matter most?</t>
  </si>
  <si>
    <t xml:space="preserve">How to use</t>
  </si>
  <si>
    <t xml:space="preserve">1. Inputs: blue cells are inputs. Yellow cells are the key assumptions to test in primary research. Pick the scenario in Inputs!C3 (1 = Base, 2 = Conservative, 3 = Upside).</t>
  </si>
  <si>
    <t xml:space="preserve">2. Model: the waterfall from gross to net for the selected scenario, and the headline outputs.</t>
  </si>
  <si>
    <t xml:space="preserve">3. Cases: every scenario and sensitivity case as one row, each computing the net pool from its own inputs.</t>
  </si>
  <si>
    <t xml:space="preserve">4. Sensitivity: one-at-a-time swings on the net pool, ranked (the tornado).</t>
  </si>
  <si>
    <t xml:space="preserve">Units</t>
  </si>
  <si>
    <t xml:space="preserve">Payment value in ₹ lakh crore. Revenue in ₹ crore (1 lakh crore = 1,00,000 crore). Revenue is an FY27 annualised run-rate unless labelled part-year.</t>
  </si>
  <si>
    <t xml:space="preserve">Colour legend</t>
  </si>
  <si>
    <t xml:space="preserve">Blue text = hardcoded input. Black = formula. Green = link to another sheet. Yellow fill = key assumption.</t>
  </si>
  <si>
    <t xml:space="preserve">Sources</t>
  </si>
  <si>
    <t xml:space="preserve">PIB / Ministry of Finance, UPI completes 10 years (Aug 2026): FY26 value ~₹314 lakh crore; P2P 71% of value.</t>
  </si>
  <si>
    <t xml:space="preserve">IIM Bangalore, India's UPI usage presents a value versus volume dilemma (Sep 2025, June 2025 data): transactions above ₹2,000 are 4% of P2M volume and 66% of P2M value.</t>
  </si>
  <si>
    <t xml:space="preserve">Business Standard, 16 Sep 2026: 0.4% MDR above ₹2,000 from 15 Oct; ₹300 cap at ₹75,000+; ₹5 flat for essential services; 0.02% for capital markets; small merchants up to ₹1 lakh/month and rural/semi-urban QR exempt; 5% to an acceptance fund; FY27 incentive ₹2,000 crore; industry P2M cost ~₹20,700 crore a year.</t>
  </si>
  <si>
    <t xml:space="preserve">Inputs</t>
  </si>
  <si>
    <t xml:space="preserve">Selected scenario (1 Base, 2 Conservative, 3 Upside)</t>
  </si>
  <si>
    <t xml:space="preserve">Input</t>
  </si>
  <si>
    <t xml:space="preserve">Base</t>
  </si>
  <si>
    <t xml:space="preserve">Conservative</t>
  </si>
  <si>
    <t xml:space="preserve">Upside</t>
  </si>
  <si>
    <t xml:space="preserve">Unit</t>
  </si>
  <si>
    <t xml:space="preserve">Source / note</t>
  </si>
  <si>
    <t xml:space="preserve">UPI value, FY26</t>
  </si>
  <si>
    <t xml:space="preserve">₹ lakh crore</t>
  </si>
  <si>
    <t xml:space="preserve">PIB, Aug 2026</t>
  </si>
  <si>
    <t xml:space="preserve">P2M share of UPI value</t>
  </si>
  <si>
    <t xml:space="preserve">%</t>
  </si>
  <si>
    <t xml:space="preserve">PIB: P2P is 71% of value</t>
  </si>
  <si>
    <t xml:space="preserve">Share of P2M value above ₹2,000</t>
  </si>
  <si>
    <t xml:space="preserve">IIM Bangalore, June 2025 data</t>
  </si>
  <si>
    <t xml:space="preserve">FY27 value growth</t>
  </si>
  <si>
    <t xml:space="preserve">Assumption; FY26 grew 21% (PIB)</t>
  </si>
  <si>
    <t xml:space="preserve">MDR rate</t>
  </si>
  <si>
    <t xml:space="preserve">NPCI, from 15 Oct 2026</t>
  </si>
  <si>
    <t xml:space="preserve">Small merchants exempt (share of above-₹2,000 P2M value)</t>
  </si>
  <si>
    <t xml:space="preserve">Assumption: up to ₹1 lakh/month on QR</t>
  </si>
  <si>
    <t xml:space="preserve">Rural and semi-urban QR exempt (share)</t>
  </si>
  <si>
    <t xml:space="preserve">Assumption</t>
  </si>
  <si>
    <t xml:space="preserve">Essential services at ₹5 flat (share)</t>
  </si>
  <si>
    <t xml:space="preserve">Assumption: railways, telecom, fuel, insurance</t>
  </si>
  <si>
    <t xml:space="preserve">Essential services average ticket</t>
  </si>
  <si>
    <t xml:space="preserve">₹</t>
  </si>
  <si>
    <t xml:space="preserve">Capital markets at 0.02% (share)</t>
  </si>
  <si>
    <t xml:space="preserve">Assumption: mutual funds and broking</t>
  </si>
  <si>
    <t xml:space="preserve">Capital markets rate</t>
  </si>
  <si>
    <t xml:space="preserve">NPCI</t>
  </si>
  <si>
    <t xml:space="preserve">Standard value in ₹75,000+ payments (₹300 cap)</t>
  </si>
  <si>
    <t xml:space="preserve">Average ticket of capped payments</t>
  </si>
  <si>
    <t xml:space="preserve">Leakage to other rails or below ₹2,000</t>
  </si>
  <si>
    <t xml:space="preserve">Share to small-merchant acceptance fund</t>
  </si>
  <si>
    <t xml:space="preserve">Months of MDR in FY27</t>
  </si>
  <si>
    <t xml:space="preserve">months</t>
  </si>
  <si>
    <t xml:space="preserve">15 Oct 2026 to 31 Mar 2027</t>
  </si>
  <si>
    <t xml:space="preserve">Industry cost of P2M payments</t>
  </si>
  <si>
    <t xml:space="preserve">₹ crore / year</t>
  </si>
  <si>
    <t xml:space="preserve">DFS to Parliament, via Business Standard</t>
  </si>
  <si>
    <t xml:space="preserve">Budget incentive, FY27</t>
  </si>
  <si>
    <t xml:space="preserve">₹ crore</t>
  </si>
  <si>
    <t xml:space="preserve">Union Budget, via Business Standard</t>
  </si>
  <si>
    <t xml:space="preserve">Check: exempt + special shares must not exceed 100% in any scenario</t>
  </si>
  <si>
    <t xml:space="preserve">Model: selected scenario</t>
  </si>
  <si>
    <t xml:space="preserve">Line</t>
  </si>
  <si>
    <t xml:space="preserve">Value</t>
  </si>
  <si>
    <t xml:space="preserve">How it is calculated</t>
  </si>
  <si>
    <t xml:space="preserve">P2M value, FY26</t>
  </si>
  <si>
    <t xml:space="preserve">UPI value × P2M share</t>
  </si>
  <si>
    <t xml:space="preserve">P2M value above ₹2,000, FY26</t>
  </si>
  <si>
    <t xml:space="preserve">× share above ₹2,000</t>
  </si>
  <si>
    <t xml:space="preserve">P2M value above ₹2,000, FY27 annualised</t>
  </si>
  <si>
    <t xml:space="preserve">× (1 + growth)</t>
  </si>
  <si>
    <t xml:space="preserve">Same, in ₹ crore</t>
  </si>
  <si>
    <t xml:space="preserve">× 1,00,000</t>
  </si>
  <si>
    <t xml:space="preserve">Standard merchant share</t>
  </si>
  <si>
    <t xml:space="preserve">1 − exempt and special shares</t>
  </si>
  <si>
    <t xml:space="preserve">Capped effective rate</t>
  </si>
  <si>
    <t xml:space="preserve">₹300 ÷ average capped ticket</t>
  </si>
  <si>
    <t xml:space="preserve">Waterfall (₹ crore, FY27 run-rate)</t>
  </si>
  <si>
    <t xml:space="preserve">Gross: 0.4% on all P2M above ₹2,000</t>
  </si>
  <si>
    <t xml:space="preserve">Base × MDR</t>
  </si>
  <si>
    <t xml:space="preserve">Small-merchant exemption</t>
  </si>
  <si>
    <t xml:space="preserve">Exempt share × MDR</t>
  </si>
  <si>
    <t xml:space="preserve">Rural and semi-urban exemption</t>
  </si>
  <si>
    <t xml:space="preserve">Essential services at ₹5 flat</t>
  </si>
  <si>
    <t xml:space="preserve">Share × (₹5 ÷ ticket − MDR)</t>
  </si>
  <si>
    <t xml:space="preserve">Capital markets at 0.02%</t>
  </si>
  <si>
    <t xml:space="preserve">Share × (0.02% − MDR)</t>
  </si>
  <si>
    <t xml:space="preserve">₹300 cap on ₹75,000+ payments</t>
  </si>
  <si>
    <t xml:space="preserve">Standard × capped share × (MDR − capped rate)</t>
  </si>
  <si>
    <t xml:space="preserve">Leakage to other rails</t>
  </si>
  <si>
    <t xml:space="preserve">Standard × leakage × MDR</t>
  </si>
  <si>
    <t xml:space="preserve">Net revenue pool</t>
  </si>
  <si>
    <t xml:space="preserve">Sum of the waterfall</t>
  </si>
  <si>
    <t xml:space="preserve">Headline outputs</t>
  </si>
  <si>
    <t xml:space="preserve">Net pool as % of gross</t>
  </si>
  <si>
    <t xml:space="preserve">Effective MDR on above-₹2,000 P2M value</t>
  </si>
  <si>
    <t xml:space="preserve">FY27 part-year revenue</t>
  </si>
  <si>
    <t xml:space="preserve">Run-rate × months ÷ 12</t>
  </si>
  <si>
    <t xml:space="preserve">To small-merchant acceptance fund</t>
  </si>
  <si>
    <t xml:space="preserve">5% of net</t>
  </si>
  <si>
    <t xml:space="preserve">Left for ecosystem participants</t>
  </si>
  <si>
    <t xml:space="preserve">Split not published by NPCI</t>
  </si>
  <si>
    <t xml:space="preserve">Share of industry P2M cost covered</t>
  </si>
  <si>
    <t xml:space="preserve">Net ÷ ₹20,700 crore</t>
  </si>
  <si>
    <t xml:space="preserve">Multiple of FY27 budget incentive</t>
  </si>
  <si>
    <t xml:space="preserve">x</t>
  </si>
  <si>
    <t xml:space="preserve">Net ÷ ₹2,000 crore</t>
  </si>
  <si>
    <t xml:space="preserve">Cost to a standard merchant per ₹100 crore of above-₹2,000 UPI sales</t>
  </si>
  <si>
    <t xml:space="preserve">₹ lakh</t>
  </si>
  <si>
    <t xml:space="preserve">₹100 crore × MDR, in lakh</t>
  </si>
  <si>
    <t xml:space="preserve">Check: waterfall equals direct calculation</t>
  </si>
  <si>
    <t xml:space="preserve">Cases: every scenario and sensitivity run, one row each</t>
  </si>
  <si>
    <t xml:space="preserve">Each row computes the net pool from its own inputs. Sensitivity rows copy Base and change one input (blue).</t>
  </si>
  <si>
    <t xml:space="preserve">Case</t>
  </si>
  <si>
    <t xml:space="preserve">UPI value FY26</t>
  </si>
  <si>
    <t xml:space="preserve">P2M share</t>
  </si>
  <si>
    <t xml:space="preserve">Above ₹2,000 share</t>
  </si>
  <si>
    <t xml:space="preserve">Growth</t>
  </si>
  <si>
    <t xml:space="preserve">MDR</t>
  </si>
  <si>
    <t xml:space="preserve">Small merchant</t>
  </si>
  <si>
    <t xml:space="preserve">Rural</t>
  </si>
  <si>
    <t xml:space="preserve">Essential</t>
  </si>
  <si>
    <t xml:space="preserve">Essential ticket</t>
  </si>
  <si>
    <t xml:space="preserve">Capital markets</t>
  </si>
  <si>
    <t xml:space="preserve">Cap mkt rate</t>
  </si>
  <si>
    <t xml:space="preserve">Capped share</t>
  </si>
  <si>
    <t xml:space="preserve">Capped ticket</t>
  </si>
  <si>
    <t xml:space="preserve">Leakage</t>
  </si>
  <si>
    <t xml:space="preserve">Above-₹2,000 value FY27 (₹ crore)</t>
  </si>
  <si>
    <t xml:space="preserve">Gross (₹ crore)</t>
  </si>
  <si>
    <t xml:space="preserve">Standard share</t>
  </si>
  <si>
    <t xml:space="preserve">Capped rate</t>
  </si>
  <si>
    <t xml:space="preserve">Net pool (₹ crore)</t>
  </si>
  <si>
    <t xml:space="preserve">Selected scenario</t>
  </si>
  <si>
    <t xml:space="preserve">Sensitivity (Base with one input changed)</t>
  </si>
  <si>
    <t xml:space="preserve">Share of P2M value above ₹2,000 — low</t>
  </si>
  <si>
    <t xml:space="preserve">Share of P2M value above ₹2,000 — high</t>
  </si>
  <si>
    <t xml:space="preserve">Exempt small-merchant share — low</t>
  </si>
  <si>
    <t xml:space="preserve">Exempt small-merchant share — high</t>
  </si>
  <si>
    <t xml:space="preserve">Capital-markets share — low</t>
  </si>
  <si>
    <t xml:space="preserve">Capital-markets share — high</t>
  </si>
  <si>
    <t xml:space="preserve">Essential-services share — low</t>
  </si>
  <si>
    <t xml:space="preserve">Essential-services share — high</t>
  </si>
  <si>
    <t xml:space="preserve">Rural and semi-urban share — low</t>
  </si>
  <si>
    <t xml:space="preserve">Rural and semi-urban share — high</t>
  </si>
  <si>
    <t xml:space="preserve">Share of standard value capped at ₹300 — low</t>
  </si>
  <si>
    <t xml:space="preserve">Share of standard value capped at ₹300 — high</t>
  </si>
  <si>
    <t xml:space="preserve">Leakage to other rails — low</t>
  </si>
  <si>
    <t xml:space="preserve">Leakage to other rails — high</t>
  </si>
  <si>
    <t xml:space="preserve">FY27 value growth — low</t>
  </si>
  <si>
    <t xml:space="preserve">FY27 value growth — high</t>
  </si>
  <si>
    <t xml:space="preserve">Sensitivity: what moves the net pool most (Base)</t>
  </si>
  <si>
    <t xml:space="preserve">Driver</t>
  </si>
  <si>
    <t xml:space="preserve">Low input</t>
  </si>
  <si>
    <t xml:space="preserve">High input</t>
  </si>
  <si>
    <t xml:space="preserve">Net at low input (₹ crore)</t>
  </si>
  <si>
    <t xml:space="preserve">Net at high input (₹ crore)</t>
  </si>
  <si>
    <t xml:space="preserve">Swing (₹ crore)</t>
  </si>
  <si>
    <t xml:space="preserve">Rank</t>
  </si>
  <si>
    <t xml:space="preserve">Exempt small-merchant share</t>
  </si>
  <si>
    <t xml:space="preserve">Capital-markets share</t>
  </si>
  <si>
    <t xml:space="preserve">Essential-services share</t>
  </si>
  <si>
    <t xml:space="preserve">Rural and semi-urban share</t>
  </si>
  <si>
    <t xml:space="preserve">Share of standard value capped at ₹300</t>
  </si>
  <si>
    <t xml:space="preserve">Base net pool (₹ crore)</t>
  </si>
  <si>
    <t xml:space="preserve">Reading: the four segment-mix shares (who is exempt or on a special rate) move the answer more than growth or the cap. Those are what the primary research is designed to pin down.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</si>
</sst>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00%;\(0.000%\);\-"/>
    <numFmt numFmtId="168" formatCode="#,##0.0;\(#,##0.0\);\-"/>
    <numFmt numFmtId="169" formatCode="0.0\x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8102E"/>
        <bgColor rgb="FF993300"/>
      </patternFill>
    </fill>
    <fill>
      <patternFill patternType="solid">
        <fgColor rgb="FFF3F3F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3.8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13</v>
      </c>
    </row>
    <row r="20" customFormat="false" ht="15" hidden="false" customHeight="false" outlineLevel="0" collapsed="false">
      <c r="A20" s="5" t="s">
        <v>14</v>
      </c>
    </row>
    <row r="21" customFormat="false" ht="23.85" hidden="false" customHeight="false" outlineLevel="0" collapsed="false">
      <c r="A21" s="5" t="s">
        <v>15</v>
      </c>
    </row>
    <row r="22" customFormat="false" ht="35.05" hidden="false" customHeight="false" outlineLevel="0" collapsed="false">
      <c r="A22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6" t="s">
        <v>17</v>
      </c>
    </row>
    <row r="3" customFormat="false" ht="15" hidden="false" customHeight="false" outlineLevel="0" collapsed="false">
      <c r="A3" s="7" t="s">
        <v>18</v>
      </c>
      <c r="C3" s="8" t="n">
        <v>1</v>
      </c>
      <c r="D3" s="9" t="str">
        <f aca="false">INDEX({"Base","Conservative","Upside"},1,C3)</f>
        <v>Base</v>
      </c>
    </row>
    <row r="4" customFormat="false" ht="15" hidden="false" customHeight="false" outlineLevel="0" collapsed="false">
      <c r="A4" s="10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</row>
    <row r="5" customFormat="false" ht="15" hidden="false" customHeight="false" outlineLevel="0" collapsed="false">
      <c r="A5" s="9" t="s">
        <v>25</v>
      </c>
      <c r="B5" s="11" t="n">
        <v>314</v>
      </c>
      <c r="C5" s="11" t="n">
        <v>314</v>
      </c>
      <c r="D5" s="11" t="n">
        <v>314</v>
      </c>
      <c r="E5" s="9" t="s">
        <v>26</v>
      </c>
      <c r="F5" s="12" t="s">
        <v>27</v>
      </c>
    </row>
    <row r="6" customFormat="false" ht="15" hidden="false" customHeight="false" outlineLevel="0" collapsed="false">
      <c r="A6" s="9" t="s">
        <v>28</v>
      </c>
      <c r="B6" s="13" t="n">
        <v>0.29</v>
      </c>
      <c r="C6" s="13" t="n">
        <v>0.29</v>
      </c>
      <c r="D6" s="13" t="n">
        <v>0.29</v>
      </c>
      <c r="E6" s="9" t="s">
        <v>29</v>
      </c>
      <c r="F6" s="12" t="s">
        <v>30</v>
      </c>
    </row>
    <row r="7" customFormat="false" ht="15" hidden="false" customHeight="false" outlineLevel="0" collapsed="false">
      <c r="A7" s="9" t="s">
        <v>31</v>
      </c>
      <c r="B7" s="14" t="n">
        <v>0.66</v>
      </c>
      <c r="C7" s="14" t="n">
        <v>0.66</v>
      </c>
      <c r="D7" s="14" t="n">
        <v>0.66</v>
      </c>
      <c r="E7" s="9" t="s">
        <v>29</v>
      </c>
      <c r="F7" s="12" t="s">
        <v>32</v>
      </c>
    </row>
    <row r="8" customFormat="false" ht="15" hidden="false" customHeight="false" outlineLevel="0" collapsed="false">
      <c r="A8" s="9" t="s">
        <v>33</v>
      </c>
      <c r="B8" s="14" t="n">
        <v>0.2</v>
      </c>
      <c r="C8" s="14" t="n">
        <v>0.15</v>
      </c>
      <c r="D8" s="14" t="n">
        <v>0.24</v>
      </c>
      <c r="E8" s="9" t="s">
        <v>29</v>
      </c>
      <c r="F8" s="12" t="s">
        <v>34</v>
      </c>
    </row>
    <row r="9" customFormat="false" ht="15" hidden="false" customHeight="false" outlineLevel="0" collapsed="false">
      <c r="A9" s="9" t="s">
        <v>35</v>
      </c>
      <c r="B9" s="15" t="n">
        <v>0.004</v>
      </c>
      <c r="C9" s="15" t="n">
        <v>0.004</v>
      </c>
      <c r="D9" s="15" t="n">
        <v>0.004</v>
      </c>
      <c r="E9" s="9" t="s">
        <v>29</v>
      </c>
      <c r="F9" s="12" t="s">
        <v>36</v>
      </c>
    </row>
    <row r="10" customFormat="false" ht="15" hidden="false" customHeight="false" outlineLevel="0" collapsed="false">
      <c r="A10" s="9" t="s">
        <v>37</v>
      </c>
      <c r="B10" s="14" t="n">
        <v>0.12</v>
      </c>
      <c r="C10" s="14" t="n">
        <v>0.18</v>
      </c>
      <c r="D10" s="14" t="n">
        <v>0.08</v>
      </c>
      <c r="E10" s="9" t="s">
        <v>29</v>
      </c>
      <c r="F10" s="12" t="s">
        <v>38</v>
      </c>
    </row>
    <row r="11" customFormat="false" ht="15" hidden="false" customHeight="false" outlineLevel="0" collapsed="false">
      <c r="A11" s="9" t="s">
        <v>39</v>
      </c>
      <c r="B11" s="14" t="n">
        <v>0.08</v>
      </c>
      <c r="C11" s="14" t="n">
        <v>0.12</v>
      </c>
      <c r="D11" s="14" t="n">
        <v>0.05</v>
      </c>
      <c r="E11" s="9" t="s">
        <v>29</v>
      </c>
      <c r="F11" s="12" t="s">
        <v>40</v>
      </c>
    </row>
    <row r="12" customFormat="false" ht="15" hidden="false" customHeight="false" outlineLevel="0" collapsed="false">
      <c r="A12" s="9" t="s">
        <v>41</v>
      </c>
      <c r="B12" s="14" t="n">
        <v>0.15</v>
      </c>
      <c r="C12" s="14" t="n">
        <v>0.2</v>
      </c>
      <c r="D12" s="14" t="n">
        <v>0.1</v>
      </c>
      <c r="E12" s="9" t="s">
        <v>29</v>
      </c>
      <c r="F12" s="12" t="s">
        <v>42</v>
      </c>
    </row>
    <row r="13" customFormat="false" ht="15" hidden="false" customHeight="false" outlineLevel="0" collapsed="false">
      <c r="A13" s="9" t="s">
        <v>43</v>
      </c>
      <c r="B13" s="11" t="n">
        <v>4000</v>
      </c>
      <c r="C13" s="11" t="n">
        <v>4000</v>
      </c>
      <c r="D13" s="11" t="n">
        <v>4000</v>
      </c>
      <c r="E13" s="9" t="s">
        <v>44</v>
      </c>
      <c r="F13" s="12" t="s">
        <v>40</v>
      </c>
    </row>
    <row r="14" customFormat="false" ht="15" hidden="false" customHeight="false" outlineLevel="0" collapsed="false">
      <c r="A14" s="9" t="s">
        <v>45</v>
      </c>
      <c r="B14" s="14" t="n">
        <v>0.15</v>
      </c>
      <c r="C14" s="14" t="n">
        <v>0.2</v>
      </c>
      <c r="D14" s="14" t="n">
        <v>0.1</v>
      </c>
      <c r="E14" s="9" t="s">
        <v>29</v>
      </c>
      <c r="F14" s="12" t="s">
        <v>46</v>
      </c>
    </row>
    <row r="15" customFormat="false" ht="15" hidden="false" customHeight="false" outlineLevel="0" collapsed="false">
      <c r="A15" s="9" t="s">
        <v>47</v>
      </c>
      <c r="B15" s="15" t="n">
        <v>0.0002</v>
      </c>
      <c r="C15" s="15" t="n">
        <v>0.0002</v>
      </c>
      <c r="D15" s="15" t="n">
        <v>0.0002</v>
      </c>
      <c r="E15" s="9" t="s">
        <v>29</v>
      </c>
      <c r="F15" s="12" t="s">
        <v>48</v>
      </c>
    </row>
    <row r="16" customFormat="false" ht="15" hidden="false" customHeight="false" outlineLevel="0" collapsed="false">
      <c r="A16" s="9" t="s">
        <v>49</v>
      </c>
      <c r="B16" s="14" t="n">
        <v>0.15</v>
      </c>
      <c r="C16" s="14" t="n">
        <v>0.2</v>
      </c>
      <c r="D16" s="14" t="n">
        <v>0.1</v>
      </c>
      <c r="E16" s="9" t="s">
        <v>29</v>
      </c>
      <c r="F16" s="12" t="s">
        <v>40</v>
      </c>
    </row>
    <row r="17" customFormat="false" ht="15" hidden="false" customHeight="false" outlineLevel="0" collapsed="false">
      <c r="A17" s="9" t="s">
        <v>50</v>
      </c>
      <c r="B17" s="11" t="n">
        <v>150000</v>
      </c>
      <c r="C17" s="11" t="n">
        <v>150000</v>
      </c>
      <c r="D17" s="11" t="n">
        <v>150000</v>
      </c>
      <c r="E17" s="9" t="s">
        <v>44</v>
      </c>
      <c r="F17" s="12" t="s">
        <v>40</v>
      </c>
    </row>
    <row r="18" customFormat="false" ht="15" hidden="false" customHeight="false" outlineLevel="0" collapsed="false">
      <c r="A18" s="9" t="s">
        <v>51</v>
      </c>
      <c r="B18" s="14" t="n">
        <v>0.05</v>
      </c>
      <c r="C18" s="14" t="n">
        <v>0.1</v>
      </c>
      <c r="D18" s="14" t="n">
        <v>0.02</v>
      </c>
      <c r="E18" s="9" t="s">
        <v>29</v>
      </c>
      <c r="F18" s="12" t="s">
        <v>40</v>
      </c>
    </row>
    <row r="19" customFormat="false" ht="15" hidden="false" customHeight="false" outlineLevel="0" collapsed="false">
      <c r="A19" s="9" t="s">
        <v>52</v>
      </c>
      <c r="B19" s="13" t="n">
        <v>0.05</v>
      </c>
      <c r="C19" s="13" t="n">
        <v>0.05</v>
      </c>
      <c r="D19" s="13" t="n">
        <v>0.05</v>
      </c>
      <c r="E19" s="9" t="s">
        <v>29</v>
      </c>
      <c r="F19" s="12" t="s">
        <v>48</v>
      </c>
    </row>
    <row r="20" customFormat="false" ht="15" hidden="false" customHeight="false" outlineLevel="0" collapsed="false">
      <c r="A20" s="9" t="s">
        <v>53</v>
      </c>
      <c r="B20" s="16" t="n">
        <v>5.5</v>
      </c>
      <c r="C20" s="16" t="n">
        <v>5.5</v>
      </c>
      <c r="D20" s="16" t="n">
        <v>5.5</v>
      </c>
      <c r="E20" s="9" t="s">
        <v>54</v>
      </c>
      <c r="F20" s="12" t="s">
        <v>55</v>
      </c>
    </row>
    <row r="21" customFormat="false" ht="15" hidden="false" customHeight="false" outlineLevel="0" collapsed="false">
      <c r="A21" s="9" t="s">
        <v>56</v>
      </c>
      <c r="B21" s="11" t="n">
        <v>20700</v>
      </c>
      <c r="C21" s="11" t="n">
        <v>20700</v>
      </c>
      <c r="D21" s="11" t="n">
        <v>20700</v>
      </c>
      <c r="E21" s="9" t="s">
        <v>57</v>
      </c>
      <c r="F21" s="12" t="s">
        <v>58</v>
      </c>
    </row>
    <row r="22" customFormat="false" ht="15" hidden="false" customHeight="false" outlineLevel="0" collapsed="false">
      <c r="A22" s="9" t="s">
        <v>59</v>
      </c>
      <c r="B22" s="11" t="n">
        <v>2000</v>
      </c>
      <c r="C22" s="11" t="n">
        <v>2000</v>
      </c>
      <c r="D22" s="11" t="n">
        <v>2000</v>
      </c>
      <c r="E22" s="9" t="s">
        <v>60</v>
      </c>
      <c r="F22" s="12" t="s">
        <v>61</v>
      </c>
    </row>
    <row r="24" customFormat="false" ht="15" hidden="false" customHeight="false" outlineLevel="0" collapsed="false">
      <c r="A24" s="7" t="s">
        <v>62</v>
      </c>
      <c r="B24" s="0" t="str">
        <f aca="false">IF(B10+B11+B12+B14&lt;=1,"OK","CHECK")</f>
        <v>OK</v>
      </c>
      <c r="C24" s="0" t="str">
        <f aca="false">IF(C10+C11+C12+C14&lt;=1,"OK","CHECK")</f>
        <v>OK</v>
      </c>
      <c r="D24" s="0" t="str">
        <f aca="false">IF(D10+D11+D12+D14&lt;=1,"OK","CHECK")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6" t="s">
        <v>63</v>
      </c>
    </row>
    <row r="2" customFormat="false" ht="15" hidden="false" customHeight="false" outlineLevel="0" collapsed="false">
      <c r="A2" s="17" t="str">
        <f aca="false">"Scenario: "&amp;Inputs!D3</f>
        <v>Scenario: Base</v>
      </c>
    </row>
    <row r="4" customFormat="false" ht="15" hidden="false" customHeight="false" outlineLevel="0" collapsed="false">
      <c r="A4" s="10" t="s">
        <v>64</v>
      </c>
      <c r="B4" s="10" t="s">
        <v>65</v>
      </c>
      <c r="C4" s="10" t="s">
        <v>23</v>
      </c>
      <c r="D4" s="10" t="s">
        <v>66</v>
      </c>
    </row>
    <row r="5" customFormat="false" ht="15" hidden="false" customHeight="false" outlineLevel="0" collapsed="false">
      <c r="A5" s="9" t="s">
        <v>25</v>
      </c>
      <c r="B5" s="18" t="n">
        <f aca="false">INDEX(Inputs!$B$5:$D$5,1,Inputs!$C$3)</f>
        <v>314</v>
      </c>
      <c r="C5" s="9" t="s">
        <v>26</v>
      </c>
      <c r="D5" s="12" t="s">
        <v>19</v>
      </c>
    </row>
    <row r="6" customFormat="false" ht="15" hidden="false" customHeight="false" outlineLevel="0" collapsed="false">
      <c r="A6" s="9" t="s">
        <v>67</v>
      </c>
      <c r="B6" s="19" t="n">
        <f aca="false">B5*INDEX(Inputs!$B$6:$D$6,1,Inputs!$C$3)</f>
        <v>91.06</v>
      </c>
      <c r="C6" s="9" t="s">
        <v>26</v>
      </c>
      <c r="D6" s="12" t="s">
        <v>68</v>
      </c>
    </row>
    <row r="7" customFormat="false" ht="15" hidden="false" customHeight="false" outlineLevel="0" collapsed="false">
      <c r="A7" s="9" t="s">
        <v>69</v>
      </c>
      <c r="B7" s="19" t="n">
        <f aca="false">B6*INDEX(Inputs!$B$7:$D$7,1,Inputs!$C$3)</f>
        <v>60.0996</v>
      </c>
      <c r="C7" s="9" t="s">
        <v>26</v>
      </c>
      <c r="D7" s="12" t="s">
        <v>70</v>
      </c>
    </row>
    <row r="8" customFormat="false" ht="15" hidden="false" customHeight="false" outlineLevel="0" collapsed="false">
      <c r="A8" s="9" t="s">
        <v>71</v>
      </c>
      <c r="B8" s="19" t="n">
        <f aca="false">B7*(1+INDEX(Inputs!$B$8:$D$8,1,Inputs!$C$3))</f>
        <v>72.11952</v>
      </c>
      <c r="C8" s="9" t="s">
        <v>26</v>
      </c>
      <c r="D8" s="12" t="s">
        <v>72</v>
      </c>
    </row>
    <row r="9" customFormat="false" ht="15" hidden="false" customHeight="false" outlineLevel="0" collapsed="false">
      <c r="A9" s="9" t="s">
        <v>73</v>
      </c>
      <c r="B9" s="20" t="n">
        <f aca="false">B8*100000</f>
        <v>7211952</v>
      </c>
      <c r="C9" s="9" t="s">
        <v>60</v>
      </c>
      <c r="D9" s="12" t="s">
        <v>74</v>
      </c>
    </row>
    <row r="10" customFormat="false" ht="15" hidden="false" customHeight="false" outlineLevel="0" collapsed="false">
      <c r="A10" s="9" t="s">
        <v>75</v>
      </c>
      <c r="B10" s="21" t="n">
        <f aca="false">MAX(0,1-INDEX(Inputs!$B$10:$D$10,1,Inputs!$C$3)-INDEX(Inputs!$B$11:$D$11,1,Inputs!$C$3)-INDEX(Inputs!$B$12:$D$12,1,Inputs!$C$3)-INDEX(Inputs!$B$14:$D$14,1,Inputs!$C$3))</f>
        <v>0.5</v>
      </c>
      <c r="C10" s="9" t="s">
        <v>29</v>
      </c>
      <c r="D10" s="12" t="s">
        <v>76</v>
      </c>
    </row>
    <row r="11" customFormat="false" ht="15" hidden="false" customHeight="false" outlineLevel="0" collapsed="false">
      <c r="A11" s="9" t="s">
        <v>77</v>
      </c>
      <c r="B11" s="22" t="n">
        <f aca="false">MIN(INDEX(Inputs!$B$9:$D$9,1,Inputs!$C$3),300/INDEX(Inputs!$B$17:$D$17,1,Inputs!$C$3))</f>
        <v>0.002</v>
      </c>
      <c r="C11" s="9" t="s">
        <v>29</v>
      </c>
      <c r="D11" s="12" t="s">
        <v>78</v>
      </c>
    </row>
    <row r="12" customFormat="false" ht="15" hidden="false" customHeight="false" outlineLevel="0" collapsed="false">
      <c r="A12" s="9"/>
      <c r="C12" s="9"/>
      <c r="D12" s="12"/>
    </row>
    <row r="13" customFormat="false" ht="15" hidden="false" customHeight="false" outlineLevel="0" collapsed="false">
      <c r="A13" s="7" t="s">
        <v>79</v>
      </c>
      <c r="C13" s="9"/>
      <c r="D13" s="12"/>
    </row>
    <row r="14" customFormat="false" ht="15" hidden="false" customHeight="false" outlineLevel="0" collapsed="false">
      <c r="A14" s="9" t="s">
        <v>80</v>
      </c>
      <c r="B14" s="20" t="n">
        <f aca="false">B9*INDEX(Inputs!$B$9:$D$9,1,Inputs!$C$3)</f>
        <v>28847.808</v>
      </c>
      <c r="C14" s="9" t="s">
        <v>60</v>
      </c>
      <c r="D14" s="12" t="s">
        <v>81</v>
      </c>
    </row>
    <row r="15" customFormat="false" ht="15" hidden="false" customHeight="false" outlineLevel="0" collapsed="false">
      <c r="A15" s="9" t="s">
        <v>82</v>
      </c>
      <c r="B15" s="20" t="n">
        <f aca="false">-B9*INDEX(Inputs!$B$10:$D$10,1,Inputs!$C$3)*INDEX(Inputs!$B$9:$D$9,1,Inputs!$C$3)</f>
        <v>-3461.73696</v>
      </c>
      <c r="C15" s="9" t="s">
        <v>60</v>
      </c>
      <c r="D15" s="12" t="s">
        <v>83</v>
      </c>
    </row>
    <row r="16" customFormat="false" ht="15" hidden="false" customHeight="false" outlineLevel="0" collapsed="false">
      <c r="A16" s="9" t="s">
        <v>84</v>
      </c>
      <c r="B16" s="20" t="n">
        <f aca="false">-B9*INDEX(Inputs!$B$11:$D$11,1,Inputs!$C$3)*INDEX(Inputs!$B$9:$D$9,1,Inputs!$C$3)</f>
        <v>-2307.82464</v>
      </c>
      <c r="C16" s="9" t="s">
        <v>60</v>
      </c>
      <c r="D16" s="12" t="s">
        <v>83</v>
      </c>
    </row>
    <row r="17" customFormat="false" ht="15" hidden="false" customHeight="false" outlineLevel="0" collapsed="false">
      <c r="A17" s="9" t="s">
        <v>85</v>
      </c>
      <c r="B17" s="20" t="n">
        <f aca="false">B9*INDEX(Inputs!$B$12:$D$12,1,Inputs!$C$3)*(5/INDEX(Inputs!$B$13:$D$13,1,Inputs!$C$3)-INDEX(Inputs!$B$9:$D$9,1,Inputs!$C$3))</f>
        <v>-2974.9302</v>
      </c>
      <c r="C17" s="9" t="s">
        <v>60</v>
      </c>
      <c r="D17" s="12" t="s">
        <v>86</v>
      </c>
    </row>
    <row r="18" customFormat="false" ht="15" hidden="false" customHeight="false" outlineLevel="0" collapsed="false">
      <c r="A18" s="9" t="s">
        <v>87</v>
      </c>
      <c r="B18" s="20" t="n">
        <f aca="false">B9*INDEX(Inputs!$B$14:$D$14,1,Inputs!$C$3)*(INDEX(Inputs!$B$15:$D$15,1,Inputs!$C$3)-INDEX(Inputs!$B$9:$D$9,1,Inputs!$C$3))</f>
        <v>-4110.81264</v>
      </c>
      <c r="C18" s="9" t="s">
        <v>60</v>
      </c>
      <c r="D18" s="12" t="s">
        <v>88</v>
      </c>
    </row>
    <row r="19" customFormat="false" ht="15" hidden="false" customHeight="false" outlineLevel="0" collapsed="false">
      <c r="A19" s="9" t="s">
        <v>89</v>
      </c>
      <c r="B19" s="20" t="n">
        <f aca="false">-B9*B10*(1-INDEX(Inputs!$B$18:$D$18,1,Inputs!$C$3))*INDEX(Inputs!$B$16:$D$16,1,Inputs!$C$3)*(INDEX(Inputs!$B$9:$D$9,1,Inputs!$C$3)-B11)</f>
        <v>-1027.70316</v>
      </c>
      <c r="C19" s="9" t="s">
        <v>60</v>
      </c>
      <c r="D19" s="12" t="s">
        <v>90</v>
      </c>
    </row>
    <row r="20" customFormat="false" ht="15" hidden="false" customHeight="false" outlineLevel="0" collapsed="false">
      <c r="A20" s="9" t="s">
        <v>91</v>
      </c>
      <c r="B20" s="20" t="n">
        <f aca="false">-B9*B10*INDEX(Inputs!$B$18:$D$18,1,Inputs!$C$3)*INDEX(Inputs!$B$9:$D$9,1,Inputs!$C$3)</f>
        <v>-721.1952</v>
      </c>
      <c r="C20" s="9" t="s">
        <v>60</v>
      </c>
      <c r="D20" s="12" t="s">
        <v>92</v>
      </c>
    </row>
    <row r="21" customFormat="false" ht="15" hidden="false" customHeight="false" outlineLevel="0" collapsed="false">
      <c r="A21" s="7" t="s">
        <v>93</v>
      </c>
      <c r="B21" s="23" t="n">
        <f aca="false">SUM(B14:B20)</f>
        <v>14243.6052</v>
      </c>
      <c r="C21" s="9" t="s">
        <v>60</v>
      </c>
      <c r="D21" s="12" t="s">
        <v>94</v>
      </c>
    </row>
    <row r="22" customFormat="false" ht="15" hidden="false" customHeight="false" outlineLevel="0" collapsed="false">
      <c r="A22" s="9"/>
      <c r="C22" s="9"/>
      <c r="D22" s="12"/>
    </row>
    <row r="23" customFormat="false" ht="15" hidden="false" customHeight="false" outlineLevel="0" collapsed="false">
      <c r="A23" s="7" t="s">
        <v>95</v>
      </c>
      <c r="C23" s="9"/>
      <c r="D23" s="12"/>
    </row>
    <row r="24" customFormat="false" ht="15" hidden="false" customHeight="false" outlineLevel="0" collapsed="false">
      <c r="A24" s="9" t="s">
        <v>96</v>
      </c>
      <c r="B24" s="21" t="n">
        <f aca="false">IF(B14=0,0,B21/B14)</f>
        <v>0.49375</v>
      </c>
      <c r="C24" s="9" t="s">
        <v>29</v>
      </c>
      <c r="D24" s="12"/>
    </row>
    <row r="25" customFormat="false" ht="15" hidden="false" customHeight="false" outlineLevel="0" collapsed="false">
      <c r="A25" s="9" t="s">
        <v>97</v>
      </c>
      <c r="B25" s="21" t="n">
        <f aca="false">IF(B9=0,0,B21/B9)</f>
        <v>0.001975</v>
      </c>
      <c r="C25" s="9" t="s">
        <v>29</v>
      </c>
      <c r="D25" s="12"/>
    </row>
    <row r="26" customFormat="false" ht="15" hidden="false" customHeight="false" outlineLevel="0" collapsed="false">
      <c r="A26" s="9" t="s">
        <v>98</v>
      </c>
      <c r="B26" s="20" t="n">
        <f aca="false">B21*INDEX(Inputs!$B$20:$D$20,1,Inputs!$C$3)/12</f>
        <v>6528.31905</v>
      </c>
      <c r="C26" s="9" t="s">
        <v>60</v>
      </c>
      <c r="D26" s="12" t="s">
        <v>99</v>
      </c>
    </row>
    <row r="27" customFormat="false" ht="15" hidden="false" customHeight="false" outlineLevel="0" collapsed="false">
      <c r="A27" s="9" t="s">
        <v>100</v>
      </c>
      <c r="B27" s="20" t="n">
        <f aca="false">B21*INDEX(Inputs!$B$19:$D$19,1,Inputs!$C$3)</f>
        <v>712.18026</v>
      </c>
      <c r="C27" s="9" t="s">
        <v>60</v>
      </c>
      <c r="D27" s="12" t="s">
        <v>101</v>
      </c>
    </row>
    <row r="28" customFormat="false" ht="15" hidden="false" customHeight="false" outlineLevel="0" collapsed="false">
      <c r="A28" s="9" t="s">
        <v>102</v>
      </c>
      <c r="B28" s="20" t="n">
        <f aca="false">B21-B27</f>
        <v>13531.42494</v>
      </c>
      <c r="C28" s="9" t="s">
        <v>60</v>
      </c>
      <c r="D28" s="12" t="s">
        <v>103</v>
      </c>
    </row>
    <row r="29" customFormat="false" ht="15" hidden="false" customHeight="false" outlineLevel="0" collapsed="false">
      <c r="A29" s="9" t="s">
        <v>104</v>
      </c>
      <c r="B29" s="21" t="n">
        <f aca="false">IF(INDEX(Inputs!$B$21:$D$21,1,Inputs!$C$3)=0,0,B21/INDEX(Inputs!$B$21:$D$21,1,Inputs!$C$3))</f>
        <v>0.688096869565217</v>
      </c>
      <c r="C29" s="9" t="s">
        <v>29</v>
      </c>
      <c r="D29" s="12" t="s">
        <v>105</v>
      </c>
    </row>
    <row r="30" customFormat="false" ht="15" hidden="false" customHeight="false" outlineLevel="0" collapsed="false">
      <c r="A30" s="9" t="s">
        <v>106</v>
      </c>
      <c r="B30" s="24" t="n">
        <f aca="false">IF(INDEX(Inputs!$B$22:$D$22,1,Inputs!$C$3)=0,0,B21/INDEX(Inputs!$B$22:$D$22,1,Inputs!$C$3))</f>
        <v>7.1218026</v>
      </c>
      <c r="C30" s="9" t="s">
        <v>107</v>
      </c>
      <c r="D30" s="12" t="s">
        <v>108</v>
      </c>
    </row>
    <row r="31" customFormat="false" ht="15" hidden="false" customHeight="false" outlineLevel="0" collapsed="false">
      <c r="A31" s="9" t="s">
        <v>109</v>
      </c>
      <c r="B31" s="19" t="n">
        <f aca="false">100*INDEX(Inputs!$B$9:$D$9,1,Inputs!$C$3)*100</f>
        <v>40</v>
      </c>
      <c r="C31" s="9" t="s">
        <v>110</v>
      </c>
      <c r="D31" s="12" t="s">
        <v>111</v>
      </c>
    </row>
    <row r="32" customFormat="false" ht="15" hidden="false" customHeight="false" outlineLevel="0" collapsed="false">
      <c r="A32" s="9" t="s">
        <v>112</v>
      </c>
      <c r="B32" s="9" t="str">
        <f aca="false">IF(ABS(B21-Cases!T5)&lt;1,"OK","CHECK")</f>
        <v>OK</v>
      </c>
      <c r="C32" s="9"/>
      <c r="D3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0" min="2" style="0" width="13"/>
  </cols>
  <sheetData>
    <row r="1" customFormat="false" ht="17.35" hidden="false" customHeight="false" outlineLevel="0" collapsed="false">
      <c r="A1" s="6" t="s">
        <v>113</v>
      </c>
    </row>
    <row r="2" customFormat="false" ht="15" hidden="false" customHeight="false" outlineLevel="0" collapsed="false">
      <c r="A2" s="25" t="s">
        <v>114</v>
      </c>
    </row>
    <row r="4" customFormat="false" ht="42" hidden="false" customHeight="true" outlineLevel="0" collapsed="false">
      <c r="A4" s="10" t="s">
        <v>115</v>
      </c>
      <c r="B4" s="10" t="s">
        <v>116</v>
      </c>
      <c r="C4" s="10" t="s">
        <v>117</v>
      </c>
      <c r="D4" s="10" t="s">
        <v>118</v>
      </c>
      <c r="E4" s="10" t="s">
        <v>119</v>
      </c>
      <c r="F4" s="10" t="s">
        <v>120</v>
      </c>
      <c r="G4" s="10" t="s">
        <v>121</v>
      </c>
      <c r="H4" s="10" t="s">
        <v>122</v>
      </c>
      <c r="I4" s="10" t="s">
        <v>123</v>
      </c>
      <c r="J4" s="10" t="s">
        <v>124</v>
      </c>
      <c r="K4" s="10" t="s">
        <v>125</v>
      </c>
      <c r="L4" s="10" t="s">
        <v>126</v>
      </c>
      <c r="M4" s="10" t="s">
        <v>127</v>
      </c>
      <c r="N4" s="10" t="s">
        <v>128</v>
      </c>
      <c r="O4" s="10" t="s">
        <v>129</v>
      </c>
      <c r="P4" s="10" t="s">
        <v>130</v>
      </c>
      <c r="Q4" s="10" t="s">
        <v>131</v>
      </c>
      <c r="R4" s="10" t="s">
        <v>132</v>
      </c>
      <c r="S4" s="10" t="s">
        <v>133</v>
      </c>
      <c r="T4" s="10" t="s">
        <v>134</v>
      </c>
    </row>
    <row r="5" customFormat="false" ht="15" hidden="false" customHeight="false" outlineLevel="0" collapsed="false">
      <c r="A5" s="7" t="s">
        <v>135</v>
      </c>
      <c r="B5" s="26" t="n">
        <f aca="false">INDEX(Inputs!$B$5:$D$5,1,Inputs!$C$3)</f>
        <v>314</v>
      </c>
      <c r="C5" s="27" t="n">
        <f aca="false">INDEX(Inputs!$B$6:$D$6,1,Inputs!$C$3)</f>
        <v>0.29</v>
      </c>
      <c r="D5" s="27" t="n">
        <f aca="false">INDEX(Inputs!$B$7:$D$7,1,Inputs!$C$3)</f>
        <v>0.66</v>
      </c>
      <c r="E5" s="27" t="n">
        <f aca="false">INDEX(Inputs!$B$8:$D$8,1,Inputs!$C$3)</f>
        <v>0.2</v>
      </c>
      <c r="F5" s="28" t="n">
        <f aca="false">INDEX(Inputs!$B$9:$D$9,1,Inputs!$C$3)</f>
        <v>0.004</v>
      </c>
      <c r="G5" s="27" t="n">
        <f aca="false">INDEX(Inputs!$B$10:$D$10,1,Inputs!$C$3)</f>
        <v>0.12</v>
      </c>
      <c r="H5" s="27" t="n">
        <f aca="false">INDEX(Inputs!$B$11:$D$11,1,Inputs!$C$3)</f>
        <v>0.08</v>
      </c>
      <c r="I5" s="27" t="n">
        <f aca="false">INDEX(Inputs!$B$12:$D$12,1,Inputs!$C$3)</f>
        <v>0.15</v>
      </c>
      <c r="J5" s="26" t="n">
        <f aca="false">INDEX(Inputs!$B$13:$D$13,1,Inputs!$C$3)</f>
        <v>4000</v>
      </c>
      <c r="K5" s="27" t="n">
        <f aca="false">INDEX(Inputs!$B$14:$D$14,1,Inputs!$C$3)</f>
        <v>0.15</v>
      </c>
      <c r="L5" s="28" t="n">
        <f aca="false">INDEX(Inputs!$B$15:$D$15,1,Inputs!$C$3)</f>
        <v>0.0002</v>
      </c>
      <c r="M5" s="27" t="n">
        <f aca="false">INDEX(Inputs!$B$16:$D$16,1,Inputs!$C$3)</f>
        <v>0.15</v>
      </c>
      <c r="N5" s="26" t="n">
        <f aca="false">INDEX(Inputs!$B$17:$D$17,1,Inputs!$C$3)</f>
        <v>150000</v>
      </c>
      <c r="O5" s="27" t="n">
        <f aca="false">INDEX(Inputs!$B$18:$D$18,1,Inputs!$C$3)</f>
        <v>0.05</v>
      </c>
      <c r="P5" s="20" t="n">
        <f aca="false">B5*C5*D5*(1+E5)*100000</f>
        <v>7211952</v>
      </c>
      <c r="Q5" s="20" t="n">
        <f aca="false">P5*F5</f>
        <v>28847.808</v>
      </c>
      <c r="R5" s="21" t="n">
        <f aca="false">MAX(0,1-G5-H5-I5-K5)</f>
        <v>0.5</v>
      </c>
      <c r="S5" s="22" t="n">
        <f aca="false">MIN(F5,300/N5)</f>
        <v>0.002</v>
      </c>
      <c r="T5" s="20" t="n">
        <f aca="false">P5*(I5*5/J5+K5*L5+R5*(1-O5)*((1-M5)*F5+M5*S5))</f>
        <v>14243.6052</v>
      </c>
    </row>
    <row r="6" customFormat="false" ht="15" hidden="false" customHeight="false" outlineLevel="0" collapsed="false">
      <c r="A6" s="9" t="s">
        <v>20</v>
      </c>
      <c r="B6" s="26" t="n">
        <f aca="false">Inputs!B5</f>
        <v>314</v>
      </c>
      <c r="C6" s="27" t="n">
        <f aca="false">Inputs!B6</f>
        <v>0.29</v>
      </c>
      <c r="D6" s="27" t="n">
        <f aca="false">Inputs!B7</f>
        <v>0.66</v>
      </c>
      <c r="E6" s="27" t="n">
        <f aca="false">Inputs!B8</f>
        <v>0.2</v>
      </c>
      <c r="F6" s="28" t="n">
        <f aca="false">Inputs!B9</f>
        <v>0.004</v>
      </c>
      <c r="G6" s="27" t="n">
        <f aca="false">Inputs!B10</f>
        <v>0.12</v>
      </c>
      <c r="H6" s="27" t="n">
        <f aca="false">Inputs!B11</f>
        <v>0.08</v>
      </c>
      <c r="I6" s="27" t="n">
        <f aca="false">Inputs!B12</f>
        <v>0.15</v>
      </c>
      <c r="J6" s="26" t="n">
        <f aca="false">Inputs!B13</f>
        <v>4000</v>
      </c>
      <c r="K6" s="27" t="n">
        <f aca="false">Inputs!B14</f>
        <v>0.15</v>
      </c>
      <c r="L6" s="28" t="n">
        <f aca="false">Inputs!B15</f>
        <v>0.0002</v>
      </c>
      <c r="M6" s="27" t="n">
        <f aca="false">Inputs!B16</f>
        <v>0.15</v>
      </c>
      <c r="N6" s="26" t="n">
        <f aca="false">Inputs!B17</f>
        <v>150000</v>
      </c>
      <c r="O6" s="27" t="n">
        <f aca="false">Inputs!B18</f>
        <v>0.05</v>
      </c>
      <c r="P6" s="20" t="n">
        <f aca="false">B6*C6*D6*(1+E6)*100000</f>
        <v>7211952</v>
      </c>
      <c r="Q6" s="20" t="n">
        <f aca="false">P6*F6</f>
        <v>28847.808</v>
      </c>
      <c r="R6" s="21" t="n">
        <f aca="false">MAX(0,1-G6-H6-I6-K6)</f>
        <v>0.5</v>
      </c>
      <c r="S6" s="22" t="n">
        <f aca="false">MIN(F6,300/N6)</f>
        <v>0.002</v>
      </c>
      <c r="T6" s="20" t="n">
        <f aca="false">P6*(I6*5/J6+K6*L6+R6*(1-O6)*((1-M6)*F6+M6*S6))</f>
        <v>14243.6052</v>
      </c>
    </row>
    <row r="7" customFormat="false" ht="15" hidden="false" customHeight="false" outlineLevel="0" collapsed="false">
      <c r="A7" s="9" t="s">
        <v>21</v>
      </c>
      <c r="B7" s="26" t="n">
        <f aca="false">Inputs!C5</f>
        <v>314</v>
      </c>
      <c r="C7" s="27" t="n">
        <f aca="false">Inputs!C6</f>
        <v>0.29</v>
      </c>
      <c r="D7" s="27" t="n">
        <f aca="false">Inputs!C7</f>
        <v>0.66</v>
      </c>
      <c r="E7" s="27" t="n">
        <f aca="false">Inputs!C8</f>
        <v>0.15</v>
      </c>
      <c r="F7" s="28" t="n">
        <f aca="false">Inputs!C9</f>
        <v>0.004</v>
      </c>
      <c r="G7" s="27" t="n">
        <f aca="false">Inputs!C10</f>
        <v>0.18</v>
      </c>
      <c r="H7" s="27" t="n">
        <f aca="false">Inputs!C11</f>
        <v>0.12</v>
      </c>
      <c r="I7" s="27" t="n">
        <f aca="false">Inputs!C12</f>
        <v>0.2</v>
      </c>
      <c r="J7" s="26" t="n">
        <f aca="false">Inputs!C13</f>
        <v>4000</v>
      </c>
      <c r="K7" s="27" t="n">
        <f aca="false">Inputs!C14</f>
        <v>0.2</v>
      </c>
      <c r="L7" s="28" t="n">
        <f aca="false">Inputs!C15</f>
        <v>0.0002</v>
      </c>
      <c r="M7" s="27" t="n">
        <f aca="false">Inputs!C16</f>
        <v>0.2</v>
      </c>
      <c r="N7" s="26" t="n">
        <f aca="false">Inputs!C17</f>
        <v>150000</v>
      </c>
      <c r="O7" s="27" t="n">
        <f aca="false">Inputs!C18</f>
        <v>0.1</v>
      </c>
      <c r="P7" s="20" t="n">
        <f aca="false">B7*C7*D7*(1+E7)*100000</f>
        <v>6911454</v>
      </c>
      <c r="Q7" s="20" t="n">
        <f aca="false">P7*F7</f>
        <v>27645.816</v>
      </c>
      <c r="R7" s="21" t="n">
        <f aca="false">MAX(0,1-G7-H7-I7-K7)</f>
        <v>0.3</v>
      </c>
      <c r="S7" s="22" t="n">
        <f aca="false">MIN(F7,300/N7)</f>
        <v>0.002</v>
      </c>
      <c r="T7" s="20" t="n">
        <f aca="false">P7*(I7*5/J7+K7*L7+R7*(1-O7)*((1-M7)*F7+M7*S7))</f>
        <v>8722.254948</v>
      </c>
    </row>
    <row r="8" customFormat="false" ht="15" hidden="false" customHeight="false" outlineLevel="0" collapsed="false">
      <c r="A8" s="9" t="s">
        <v>22</v>
      </c>
      <c r="B8" s="26" t="n">
        <f aca="false">Inputs!D5</f>
        <v>314</v>
      </c>
      <c r="C8" s="27" t="n">
        <f aca="false">Inputs!D6</f>
        <v>0.29</v>
      </c>
      <c r="D8" s="27" t="n">
        <f aca="false">Inputs!D7</f>
        <v>0.66</v>
      </c>
      <c r="E8" s="27" t="n">
        <f aca="false">Inputs!D8</f>
        <v>0.24</v>
      </c>
      <c r="F8" s="28" t="n">
        <f aca="false">Inputs!D9</f>
        <v>0.004</v>
      </c>
      <c r="G8" s="27" t="n">
        <f aca="false">Inputs!D10</f>
        <v>0.08</v>
      </c>
      <c r="H8" s="27" t="n">
        <f aca="false">Inputs!D11</f>
        <v>0.05</v>
      </c>
      <c r="I8" s="27" t="n">
        <f aca="false">Inputs!D12</f>
        <v>0.1</v>
      </c>
      <c r="J8" s="26" t="n">
        <f aca="false">Inputs!D13</f>
        <v>4000</v>
      </c>
      <c r="K8" s="27" t="n">
        <f aca="false">Inputs!D14</f>
        <v>0.1</v>
      </c>
      <c r="L8" s="28" t="n">
        <f aca="false">Inputs!D15</f>
        <v>0.0002</v>
      </c>
      <c r="M8" s="27" t="n">
        <f aca="false">Inputs!D16</f>
        <v>0.1</v>
      </c>
      <c r="N8" s="26" t="n">
        <f aca="false">Inputs!D17</f>
        <v>150000</v>
      </c>
      <c r="O8" s="27" t="n">
        <f aca="false">Inputs!D18</f>
        <v>0.02</v>
      </c>
      <c r="P8" s="20" t="n">
        <f aca="false">B8*C8*D8*(1+E8)*100000</f>
        <v>7452350.4</v>
      </c>
      <c r="Q8" s="20" t="n">
        <f aca="false">P8*F8</f>
        <v>29809.4016</v>
      </c>
      <c r="R8" s="21" t="n">
        <f aca="false">MAX(0,1-G8-H8-I8-K8)</f>
        <v>0.67</v>
      </c>
      <c r="S8" s="22" t="n">
        <f aca="false">MIN(F8,300/N8)</f>
        <v>0.002</v>
      </c>
      <c r="T8" s="20" t="n">
        <f aca="false">P8*(I8*5/J8+K8*L8+R8*(1-O8)*((1-M8)*F8+M8*S8))</f>
        <v>19674.801244032</v>
      </c>
    </row>
    <row r="9" customFormat="false" ht="15" hidden="false" customHeight="false" outlineLevel="0" collapsed="false">
      <c r="A9" s="7" t="s">
        <v>136</v>
      </c>
    </row>
    <row r="10" customFormat="false" ht="15" hidden="false" customHeight="false" outlineLevel="0" collapsed="false">
      <c r="A10" s="9" t="s">
        <v>137</v>
      </c>
      <c r="B10" s="26" t="n">
        <f aca="false">Inputs!B5</f>
        <v>314</v>
      </c>
      <c r="C10" s="27" t="n">
        <f aca="false">Inputs!B6</f>
        <v>0.29</v>
      </c>
      <c r="D10" s="13" t="n">
        <v>0.6</v>
      </c>
      <c r="E10" s="27" t="n">
        <f aca="false">Inputs!B8</f>
        <v>0.2</v>
      </c>
      <c r="F10" s="28" t="n">
        <f aca="false">Inputs!B9</f>
        <v>0.004</v>
      </c>
      <c r="G10" s="27" t="n">
        <f aca="false">Inputs!B10</f>
        <v>0.12</v>
      </c>
      <c r="H10" s="27" t="n">
        <f aca="false">Inputs!B11</f>
        <v>0.08</v>
      </c>
      <c r="I10" s="27" t="n">
        <f aca="false">Inputs!B12</f>
        <v>0.15</v>
      </c>
      <c r="J10" s="26" t="n">
        <f aca="false">Inputs!B13</f>
        <v>4000</v>
      </c>
      <c r="K10" s="27" t="n">
        <f aca="false">Inputs!B14</f>
        <v>0.15</v>
      </c>
      <c r="L10" s="28" t="n">
        <f aca="false">Inputs!B15</f>
        <v>0.0002</v>
      </c>
      <c r="M10" s="27" t="n">
        <f aca="false">Inputs!B16</f>
        <v>0.15</v>
      </c>
      <c r="N10" s="26" t="n">
        <f aca="false">Inputs!B17</f>
        <v>150000</v>
      </c>
      <c r="O10" s="27" t="n">
        <f aca="false">Inputs!B18</f>
        <v>0.05</v>
      </c>
      <c r="P10" s="20" t="n">
        <f aca="false">B10*C10*D10*(1+E10)*100000</f>
        <v>6556320</v>
      </c>
      <c r="Q10" s="20" t="n">
        <f aca="false">P10*F10</f>
        <v>26225.28</v>
      </c>
      <c r="R10" s="21" t="n">
        <f aca="false">MAX(0,1-G10-H10-I10-K10)</f>
        <v>0.5</v>
      </c>
      <c r="S10" s="22" t="n">
        <f aca="false">MIN(F10,300/N10)</f>
        <v>0.002</v>
      </c>
      <c r="T10" s="20" t="n">
        <f aca="false">P10*(I10*5/J10+K10*L10+R10*(1-O10)*((1-M10)*F10+M10*S10))</f>
        <v>12948.732</v>
      </c>
    </row>
    <row r="11" customFormat="false" ht="15" hidden="false" customHeight="false" outlineLevel="0" collapsed="false">
      <c r="A11" s="9" t="s">
        <v>138</v>
      </c>
      <c r="B11" s="26" t="n">
        <f aca="false">Inputs!B5</f>
        <v>314</v>
      </c>
      <c r="C11" s="27" t="n">
        <f aca="false">Inputs!B6</f>
        <v>0.29</v>
      </c>
      <c r="D11" s="13" t="n">
        <v>0.72</v>
      </c>
      <c r="E11" s="27" t="n">
        <f aca="false">Inputs!B8</f>
        <v>0.2</v>
      </c>
      <c r="F11" s="28" t="n">
        <f aca="false">Inputs!B9</f>
        <v>0.004</v>
      </c>
      <c r="G11" s="27" t="n">
        <f aca="false">Inputs!B10</f>
        <v>0.12</v>
      </c>
      <c r="H11" s="27" t="n">
        <f aca="false">Inputs!B11</f>
        <v>0.08</v>
      </c>
      <c r="I11" s="27" t="n">
        <f aca="false">Inputs!B12</f>
        <v>0.15</v>
      </c>
      <c r="J11" s="26" t="n">
        <f aca="false">Inputs!B13</f>
        <v>4000</v>
      </c>
      <c r="K11" s="27" t="n">
        <f aca="false">Inputs!B14</f>
        <v>0.15</v>
      </c>
      <c r="L11" s="28" t="n">
        <f aca="false">Inputs!B15</f>
        <v>0.0002</v>
      </c>
      <c r="M11" s="27" t="n">
        <f aca="false">Inputs!B16</f>
        <v>0.15</v>
      </c>
      <c r="N11" s="26" t="n">
        <f aca="false">Inputs!B17</f>
        <v>150000</v>
      </c>
      <c r="O11" s="27" t="n">
        <f aca="false">Inputs!B18</f>
        <v>0.05</v>
      </c>
      <c r="P11" s="20" t="n">
        <f aca="false">B11*C11*D11*(1+E11)*100000</f>
        <v>7867584</v>
      </c>
      <c r="Q11" s="20" t="n">
        <f aca="false">P11*F11</f>
        <v>31470.336</v>
      </c>
      <c r="R11" s="21" t="n">
        <f aca="false">MAX(0,1-G11-H11-I11-K11)</f>
        <v>0.5</v>
      </c>
      <c r="S11" s="22" t="n">
        <f aca="false">MIN(F11,300/N11)</f>
        <v>0.002</v>
      </c>
      <c r="T11" s="20" t="n">
        <f aca="false">P11*(I11*5/J11+K11*L11+R11*(1-O11)*((1-M11)*F11+M11*S11))</f>
        <v>15538.4784</v>
      </c>
    </row>
    <row r="12" customFormat="false" ht="15" hidden="false" customHeight="false" outlineLevel="0" collapsed="false">
      <c r="A12" s="9" t="s">
        <v>139</v>
      </c>
      <c r="B12" s="26" t="n">
        <f aca="false">Inputs!B5</f>
        <v>314</v>
      </c>
      <c r="C12" s="27" t="n">
        <f aca="false">Inputs!B6</f>
        <v>0.29</v>
      </c>
      <c r="D12" s="27" t="n">
        <f aca="false">Inputs!B7</f>
        <v>0.66</v>
      </c>
      <c r="E12" s="27" t="n">
        <f aca="false">Inputs!B8</f>
        <v>0.2</v>
      </c>
      <c r="F12" s="28" t="n">
        <f aca="false">Inputs!B9</f>
        <v>0.004</v>
      </c>
      <c r="G12" s="13" t="n">
        <v>0.06</v>
      </c>
      <c r="H12" s="27" t="n">
        <f aca="false">Inputs!B11</f>
        <v>0.08</v>
      </c>
      <c r="I12" s="27" t="n">
        <f aca="false">Inputs!B12</f>
        <v>0.15</v>
      </c>
      <c r="J12" s="26" t="n">
        <f aca="false">Inputs!B13</f>
        <v>4000</v>
      </c>
      <c r="K12" s="27" t="n">
        <f aca="false">Inputs!B14</f>
        <v>0.15</v>
      </c>
      <c r="L12" s="28" t="n">
        <f aca="false">Inputs!B15</f>
        <v>0.0002</v>
      </c>
      <c r="M12" s="27" t="n">
        <f aca="false">Inputs!B16</f>
        <v>0.15</v>
      </c>
      <c r="N12" s="26" t="n">
        <f aca="false">Inputs!B17</f>
        <v>150000</v>
      </c>
      <c r="O12" s="27" t="n">
        <f aca="false">Inputs!B18</f>
        <v>0.05</v>
      </c>
      <c r="P12" s="20" t="n">
        <f aca="false">B12*C12*D12*(1+E12)*100000</f>
        <v>7211952</v>
      </c>
      <c r="Q12" s="20" t="n">
        <f aca="false">P12*F12</f>
        <v>28847.808</v>
      </c>
      <c r="R12" s="21" t="n">
        <f aca="false">MAX(0,1-G12-H12-I12-K12)</f>
        <v>0.56</v>
      </c>
      <c r="S12" s="22" t="n">
        <f aca="false">MIN(F12,300/N12)</f>
        <v>0.002</v>
      </c>
      <c r="T12" s="20" t="n">
        <f aca="false">P12*(I12*5/J12+K12*L12+R12*(1-O12)*((1-M12)*F12+M12*S12))</f>
        <v>15764.6058768</v>
      </c>
    </row>
    <row r="13" customFormat="false" ht="15" hidden="false" customHeight="false" outlineLevel="0" collapsed="false">
      <c r="A13" s="9" t="s">
        <v>140</v>
      </c>
      <c r="B13" s="26" t="n">
        <f aca="false">Inputs!B5</f>
        <v>314</v>
      </c>
      <c r="C13" s="27" t="n">
        <f aca="false">Inputs!B6</f>
        <v>0.29</v>
      </c>
      <c r="D13" s="27" t="n">
        <f aca="false">Inputs!B7</f>
        <v>0.66</v>
      </c>
      <c r="E13" s="27" t="n">
        <f aca="false">Inputs!B8</f>
        <v>0.2</v>
      </c>
      <c r="F13" s="28" t="n">
        <f aca="false">Inputs!B9</f>
        <v>0.004</v>
      </c>
      <c r="G13" s="13" t="n">
        <v>0.2</v>
      </c>
      <c r="H13" s="27" t="n">
        <f aca="false">Inputs!B11</f>
        <v>0.08</v>
      </c>
      <c r="I13" s="27" t="n">
        <f aca="false">Inputs!B12</f>
        <v>0.15</v>
      </c>
      <c r="J13" s="26" t="n">
        <f aca="false">Inputs!B13</f>
        <v>4000</v>
      </c>
      <c r="K13" s="27" t="n">
        <f aca="false">Inputs!B14</f>
        <v>0.15</v>
      </c>
      <c r="L13" s="28" t="n">
        <f aca="false">Inputs!B15</f>
        <v>0.0002</v>
      </c>
      <c r="M13" s="27" t="n">
        <f aca="false">Inputs!B16</f>
        <v>0.15</v>
      </c>
      <c r="N13" s="26" t="n">
        <f aca="false">Inputs!B17</f>
        <v>150000</v>
      </c>
      <c r="O13" s="27" t="n">
        <f aca="false">Inputs!B18</f>
        <v>0.05</v>
      </c>
      <c r="P13" s="20" t="n">
        <f aca="false">B13*C13*D13*(1+E13)*100000</f>
        <v>7211952</v>
      </c>
      <c r="Q13" s="20" t="n">
        <f aca="false">P13*F13</f>
        <v>28847.808</v>
      </c>
      <c r="R13" s="21" t="n">
        <f aca="false">MAX(0,1-G13-H13-I13-K13)</f>
        <v>0.42</v>
      </c>
      <c r="S13" s="22" t="n">
        <f aca="false">MIN(F13,300/N13)</f>
        <v>0.002</v>
      </c>
      <c r="T13" s="20" t="n">
        <f aca="false">P13*(I13*5/J13+K13*L13+R13*(1-O13)*((1-M13)*F13+M13*S13))</f>
        <v>12215.6042976</v>
      </c>
    </row>
    <row r="14" customFormat="false" ht="15" hidden="false" customHeight="false" outlineLevel="0" collapsed="false">
      <c r="A14" s="9" t="s">
        <v>141</v>
      </c>
      <c r="B14" s="26" t="n">
        <f aca="false">Inputs!B5</f>
        <v>314</v>
      </c>
      <c r="C14" s="27" t="n">
        <f aca="false">Inputs!B6</f>
        <v>0.29</v>
      </c>
      <c r="D14" s="27" t="n">
        <f aca="false">Inputs!B7</f>
        <v>0.66</v>
      </c>
      <c r="E14" s="27" t="n">
        <f aca="false">Inputs!B8</f>
        <v>0.2</v>
      </c>
      <c r="F14" s="28" t="n">
        <f aca="false">Inputs!B9</f>
        <v>0.004</v>
      </c>
      <c r="G14" s="27" t="n">
        <f aca="false">Inputs!B10</f>
        <v>0.12</v>
      </c>
      <c r="H14" s="27" t="n">
        <f aca="false">Inputs!B11</f>
        <v>0.08</v>
      </c>
      <c r="I14" s="27" t="n">
        <f aca="false">Inputs!B12</f>
        <v>0.15</v>
      </c>
      <c r="J14" s="26" t="n">
        <f aca="false">Inputs!B13</f>
        <v>4000</v>
      </c>
      <c r="K14" s="13" t="n">
        <v>0.08</v>
      </c>
      <c r="L14" s="28" t="n">
        <f aca="false">Inputs!B15</f>
        <v>0.0002</v>
      </c>
      <c r="M14" s="27" t="n">
        <f aca="false">Inputs!B16</f>
        <v>0.15</v>
      </c>
      <c r="N14" s="26" t="n">
        <f aca="false">Inputs!B17</f>
        <v>150000</v>
      </c>
      <c r="O14" s="27" t="n">
        <f aca="false">Inputs!B18</f>
        <v>0.05</v>
      </c>
      <c r="P14" s="20" t="n">
        <f aca="false">B14*C14*D14*(1+E14)*100000</f>
        <v>7211952</v>
      </c>
      <c r="Q14" s="20" t="n">
        <f aca="false">P14*F14</f>
        <v>28847.808</v>
      </c>
      <c r="R14" s="21" t="n">
        <f aca="false">MAX(0,1-G14-H14-I14-K14)</f>
        <v>0.57</v>
      </c>
      <c r="S14" s="22" t="n">
        <f aca="false">MIN(F14,300/N14)</f>
        <v>0.002</v>
      </c>
      <c r="T14" s="20" t="n">
        <f aca="false">P14*(I14*5/J14+K14*L14+R14*(1-O14)*((1-M14)*F14+M14*S14))</f>
        <v>15917.1386616</v>
      </c>
    </row>
    <row r="15" customFormat="false" ht="15" hidden="false" customHeight="false" outlineLevel="0" collapsed="false">
      <c r="A15" s="9" t="s">
        <v>142</v>
      </c>
      <c r="B15" s="26" t="n">
        <f aca="false">Inputs!B5</f>
        <v>314</v>
      </c>
      <c r="C15" s="27" t="n">
        <f aca="false">Inputs!B6</f>
        <v>0.29</v>
      </c>
      <c r="D15" s="27" t="n">
        <f aca="false">Inputs!B7</f>
        <v>0.66</v>
      </c>
      <c r="E15" s="27" t="n">
        <f aca="false">Inputs!B8</f>
        <v>0.2</v>
      </c>
      <c r="F15" s="28" t="n">
        <f aca="false">Inputs!B9</f>
        <v>0.004</v>
      </c>
      <c r="G15" s="27" t="n">
        <f aca="false">Inputs!B10</f>
        <v>0.12</v>
      </c>
      <c r="H15" s="27" t="n">
        <f aca="false">Inputs!B11</f>
        <v>0.08</v>
      </c>
      <c r="I15" s="27" t="n">
        <f aca="false">Inputs!B12</f>
        <v>0.15</v>
      </c>
      <c r="J15" s="26" t="n">
        <f aca="false">Inputs!B13</f>
        <v>4000</v>
      </c>
      <c r="K15" s="13" t="n">
        <v>0.25</v>
      </c>
      <c r="L15" s="28" t="n">
        <f aca="false">Inputs!B15</f>
        <v>0.0002</v>
      </c>
      <c r="M15" s="27" t="n">
        <f aca="false">Inputs!B16</f>
        <v>0.15</v>
      </c>
      <c r="N15" s="26" t="n">
        <f aca="false">Inputs!B17</f>
        <v>150000</v>
      </c>
      <c r="O15" s="27" t="n">
        <f aca="false">Inputs!B18</f>
        <v>0.05</v>
      </c>
      <c r="P15" s="20" t="n">
        <f aca="false">B15*C15*D15*(1+E15)*100000</f>
        <v>7211952</v>
      </c>
      <c r="Q15" s="20" t="n">
        <f aca="false">P15*F15</f>
        <v>28847.808</v>
      </c>
      <c r="R15" s="21" t="n">
        <f aca="false">MAX(0,1-G15-H15-I15-K15)</f>
        <v>0.4</v>
      </c>
      <c r="S15" s="22" t="n">
        <f aca="false">MIN(F15,300/N15)</f>
        <v>0.002</v>
      </c>
      <c r="T15" s="20" t="n">
        <f aca="false">P15*(I15*5/J15+K15*L15+R15*(1-O15)*((1-M15)*F15+M15*S15))</f>
        <v>11852.843112</v>
      </c>
    </row>
    <row r="16" customFormat="false" ht="15" hidden="false" customHeight="false" outlineLevel="0" collapsed="false">
      <c r="A16" s="9" t="s">
        <v>143</v>
      </c>
      <c r="B16" s="26" t="n">
        <f aca="false">Inputs!B5</f>
        <v>314</v>
      </c>
      <c r="C16" s="27" t="n">
        <f aca="false">Inputs!B6</f>
        <v>0.29</v>
      </c>
      <c r="D16" s="27" t="n">
        <f aca="false">Inputs!B7</f>
        <v>0.66</v>
      </c>
      <c r="E16" s="27" t="n">
        <f aca="false">Inputs!B8</f>
        <v>0.2</v>
      </c>
      <c r="F16" s="28" t="n">
        <f aca="false">Inputs!B9</f>
        <v>0.004</v>
      </c>
      <c r="G16" s="27" t="n">
        <f aca="false">Inputs!B10</f>
        <v>0.12</v>
      </c>
      <c r="H16" s="27" t="n">
        <f aca="false">Inputs!B11</f>
        <v>0.08</v>
      </c>
      <c r="I16" s="13" t="n">
        <v>0.08</v>
      </c>
      <c r="J16" s="26" t="n">
        <f aca="false">Inputs!B13</f>
        <v>4000</v>
      </c>
      <c r="K16" s="27" t="n">
        <f aca="false">Inputs!B14</f>
        <v>0.15</v>
      </c>
      <c r="L16" s="28" t="n">
        <f aca="false">Inputs!B15</f>
        <v>0.0002</v>
      </c>
      <c r="M16" s="27" t="n">
        <f aca="false">Inputs!B16</f>
        <v>0.15</v>
      </c>
      <c r="N16" s="26" t="n">
        <f aca="false">Inputs!B17</f>
        <v>150000</v>
      </c>
      <c r="O16" s="27" t="n">
        <f aca="false">Inputs!B18</f>
        <v>0.05</v>
      </c>
      <c r="P16" s="20" t="n">
        <f aca="false">B16*C16*D16*(1+E16)*100000</f>
        <v>7211952</v>
      </c>
      <c r="Q16" s="20" t="n">
        <f aca="false">P16*F16</f>
        <v>28847.808</v>
      </c>
      <c r="R16" s="21" t="n">
        <f aca="false">MAX(0,1-G16-H16-I16-K16)</f>
        <v>0.57</v>
      </c>
      <c r="S16" s="22" t="n">
        <f aca="false">MIN(F16,300/N16)</f>
        <v>0.002</v>
      </c>
      <c r="T16" s="20" t="n">
        <f aca="false">P16*(I16*5/J16+K16*L16+R16*(1-O16)*((1-M16)*F16+M16*S16))</f>
        <v>15387.0601896</v>
      </c>
    </row>
    <row r="17" customFormat="false" ht="15" hidden="false" customHeight="false" outlineLevel="0" collapsed="false">
      <c r="A17" s="9" t="s">
        <v>144</v>
      </c>
      <c r="B17" s="26" t="n">
        <f aca="false">Inputs!B5</f>
        <v>314</v>
      </c>
      <c r="C17" s="27" t="n">
        <f aca="false">Inputs!B6</f>
        <v>0.29</v>
      </c>
      <c r="D17" s="27" t="n">
        <f aca="false">Inputs!B7</f>
        <v>0.66</v>
      </c>
      <c r="E17" s="27" t="n">
        <f aca="false">Inputs!B8</f>
        <v>0.2</v>
      </c>
      <c r="F17" s="28" t="n">
        <f aca="false">Inputs!B9</f>
        <v>0.004</v>
      </c>
      <c r="G17" s="27" t="n">
        <f aca="false">Inputs!B10</f>
        <v>0.12</v>
      </c>
      <c r="H17" s="27" t="n">
        <f aca="false">Inputs!B11</f>
        <v>0.08</v>
      </c>
      <c r="I17" s="13" t="n">
        <v>0.25</v>
      </c>
      <c r="J17" s="26" t="n">
        <f aca="false">Inputs!B13</f>
        <v>4000</v>
      </c>
      <c r="K17" s="27" t="n">
        <f aca="false">Inputs!B14</f>
        <v>0.15</v>
      </c>
      <c r="L17" s="28" t="n">
        <f aca="false">Inputs!B15</f>
        <v>0.0002</v>
      </c>
      <c r="M17" s="27" t="n">
        <f aca="false">Inputs!B16</f>
        <v>0.15</v>
      </c>
      <c r="N17" s="26" t="n">
        <f aca="false">Inputs!B17</f>
        <v>150000</v>
      </c>
      <c r="O17" s="27" t="n">
        <f aca="false">Inputs!B18</f>
        <v>0.05</v>
      </c>
      <c r="P17" s="20" t="n">
        <f aca="false">B17*C17*D17*(1+E17)*100000</f>
        <v>7211952</v>
      </c>
      <c r="Q17" s="20" t="n">
        <f aca="false">P17*F17</f>
        <v>28847.808</v>
      </c>
      <c r="R17" s="21" t="n">
        <f aca="false">MAX(0,1-G17-H17-I17-K17)</f>
        <v>0.4</v>
      </c>
      <c r="S17" s="22" t="n">
        <f aca="false">MIN(F17,300/N17)</f>
        <v>0.002</v>
      </c>
      <c r="T17" s="20" t="n">
        <f aca="false">P17*(I17*5/J17+K17*L17+R17*(1-O17)*((1-M17)*F17+M17*S17))</f>
        <v>12610.098072</v>
      </c>
    </row>
    <row r="18" customFormat="false" ht="15" hidden="false" customHeight="false" outlineLevel="0" collapsed="false">
      <c r="A18" s="9" t="s">
        <v>145</v>
      </c>
      <c r="B18" s="26" t="n">
        <f aca="false">Inputs!B5</f>
        <v>314</v>
      </c>
      <c r="C18" s="27" t="n">
        <f aca="false">Inputs!B6</f>
        <v>0.29</v>
      </c>
      <c r="D18" s="27" t="n">
        <f aca="false">Inputs!B7</f>
        <v>0.66</v>
      </c>
      <c r="E18" s="27" t="n">
        <f aca="false">Inputs!B8</f>
        <v>0.2</v>
      </c>
      <c r="F18" s="28" t="n">
        <f aca="false">Inputs!B9</f>
        <v>0.004</v>
      </c>
      <c r="G18" s="27" t="n">
        <f aca="false">Inputs!B10</f>
        <v>0.12</v>
      </c>
      <c r="H18" s="13" t="n">
        <v>0.04</v>
      </c>
      <c r="I18" s="27" t="n">
        <f aca="false">Inputs!B12</f>
        <v>0.15</v>
      </c>
      <c r="J18" s="26" t="n">
        <f aca="false">Inputs!B13</f>
        <v>4000</v>
      </c>
      <c r="K18" s="27" t="n">
        <f aca="false">Inputs!B14</f>
        <v>0.15</v>
      </c>
      <c r="L18" s="28" t="n">
        <f aca="false">Inputs!B15</f>
        <v>0.0002</v>
      </c>
      <c r="M18" s="27" t="n">
        <f aca="false">Inputs!B16</f>
        <v>0.15</v>
      </c>
      <c r="N18" s="26" t="n">
        <f aca="false">Inputs!B17</f>
        <v>150000</v>
      </c>
      <c r="O18" s="27" t="n">
        <f aca="false">Inputs!B18</f>
        <v>0.05</v>
      </c>
      <c r="P18" s="20" t="n">
        <f aca="false">B18*C18*D18*(1+E18)*100000</f>
        <v>7211952</v>
      </c>
      <c r="Q18" s="20" t="n">
        <f aca="false">P18*F18</f>
        <v>28847.808</v>
      </c>
      <c r="R18" s="21" t="n">
        <f aca="false">MAX(0,1-G18-H18-I18-K18)</f>
        <v>0.54</v>
      </c>
      <c r="S18" s="22" t="n">
        <f aca="false">MIN(F18,300/N18)</f>
        <v>0.002</v>
      </c>
      <c r="T18" s="20" t="n">
        <f aca="false">P18*(I18*5/J18+K18*L18+R18*(1-O18)*((1-M18)*F18+M18*S18))</f>
        <v>15257.6056512</v>
      </c>
    </row>
    <row r="19" customFormat="false" ht="15" hidden="false" customHeight="false" outlineLevel="0" collapsed="false">
      <c r="A19" s="9" t="s">
        <v>146</v>
      </c>
      <c r="B19" s="26" t="n">
        <f aca="false">Inputs!B5</f>
        <v>314</v>
      </c>
      <c r="C19" s="27" t="n">
        <f aca="false">Inputs!B6</f>
        <v>0.29</v>
      </c>
      <c r="D19" s="27" t="n">
        <f aca="false">Inputs!B7</f>
        <v>0.66</v>
      </c>
      <c r="E19" s="27" t="n">
        <f aca="false">Inputs!B8</f>
        <v>0.2</v>
      </c>
      <c r="F19" s="28" t="n">
        <f aca="false">Inputs!B9</f>
        <v>0.004</v>
      </c>
      <c r="G19" s="27" t="n">
        <f aca="false">Inputs!B10</f>
        <v>0.12</v>
      </c>
      <c r="H19" s="13" t="n">
        <v>0.14</v>
      </c>
      <c r="I19" s="27" t="n">
        <f aca="false">Inputs!B12</f>
        <v>0.15</v>
      </c>
      <c r="J19" s="26" t="n">
        <f aca="false">Inputs!B13</f>
        <v>4000</v>
      </c>
      <c r="K19" s="27" t="n">
        <f aca="false">Inputs!B14</f>
        <v>0.15</v>
      </c>
      <c r="L19" s="28" t="n">
        <f aca="false">Inputs!B15</f>
        <v>0.0002</v>
      </c>
      <c r="M19" s="27" t="n">
        <f aca="false">Inputs!B16</f>
        <v>0.15</v>
      </c>
      <c r="N19" s="26" t="n">
        <f aca="false">Inputs!B17</f>
        <v>150000</v>
      </c>
      <c r="O19" s="27" t="n">
        <f aca="false">Inputs!B18</f>
        <v>0.05</v>
      </c>
      <c r="P19" s="20" t="n">
        <f aca="false">B19*C19*D19*(1+E19)*100000</f>
        <v>7211952</v>
      </c>
      <c r="Q19" s="20" t="n">
        <f aca="false">P19*F19</f>
        <v>28847.808</v>
      </c>
      <c r="R19" s="21" t="n">
        <f aca="false">MAX(0,1-G19-H19-I19-K19)</f>
        <v>0.44</v>
      </c>
      <c r="S19" s="22" t="n">
        <f aca="false">MIN(F19,300/N19)</f>
        <v>0.002</v>
      </c>
      <c r="T19" s="20" t="n">
        <f aca="false">P19*(I19*5/J19+K19*L19+R19*(1-O19)*((1-M19)*F19+M19*S19))</f>
        <v>12722.6045232</v>
      </c>
    </row>
    <row r="20" customFormat="false" ht="15" hidden="false" customHeight="false" outlineLevel="0" collapsed="false">
      <c r="A20" s="9" t="s">
        <v>147</v>
      </c>
      <c r="B20" s="26" t="n">
        <f aca="false">Inputs!B5</f>
        <v>314</v>
      </c>
      <c r="C20" s="27" t="n">
        <f aca="false">Inputs!B6</f>
        <v>0.29</v>
      </c>
      <c r="D20" s="27" t="n">
        <f aca="false">Inputs!B7</f>
        <v>0.66</v>
      </c>
      <c r="E20" s="27" t="n">
        <f aca="false">Inputs!B8</f>
        <v>0.2</v>
      </c>
      <c r="F20" s="28" t="n">
        <f aca="false">Inputs!B9</f>
        <v>0.004</v>
      </c>
      <c r="G20" s="27" t="n">
        <f aca="false">Inputs!B10</f>
        <v>0.12</v>
      </c>
      <c r="H20" s="27" t="n">
        <f aca="false">Inputs!B11</f>
        <v>0.08</v>
      </c>
      <c r="I20" s="27" t="n">
        <f aca="false">Inputs!B12</f>
        <v>0.15</v>
      </c>
      <c r="J20" s="26" t="n">
        <f aca="false">Inputs!B13</f>
        <v>4000</v>
      </c>
      <c r="K20" s="27" t="n">
        <f aca="false">Inputs!B14</f>
        <v>0.15</v>
      </c>
      <c r="L20" s="28" t="n">
        <f aca="false">Inputs!B15</f>
        <v>0.0002</v>
      </c>
      <c r="M20" s="13" t="n">
        <v>0.08</v>
      </c>
      <c r="N20" s="26" t="n">
        <f aca="false">Inputs!B17</f>
        <v>150000</v>
      </c>
      <c r="O20" s="27" t="n">
        <f aca="false">Inputs!B18</f>
        <v>0.05</v>
      </c>
      <c r="P20" s="20" t="n">
        <f aca="false">B20*C20*D20*(1+E20)*100000</f>
        <v>7211952</v>
      </c>
      <c r="Q20" s="20" t="n">
        <f aca="false">P20*F20</f>
        <v>28847.808</v>
      </c>
      <c r="R20" s="21" t="n">
        <f aca="false">MAX(0,1-G20-H20-I20-K20)</f>
        <v>0.5</v>
      </c>
      <c r="S20" s="22" t="n">
        <f aca="false">MIN(F20,300/N20)</f>
        <v>0.002</v>
      </c>
      <c r="T20" s="20" t="n">
        <f aca="false">P20*(I20*5/J20+K20*L20+R20*(1-O20)*((1-M20)*F20+M20*S20))</f>
        <v>14723.200008</v>
      </c>
    </row>
    <row r="21" customFormat="false" ht="15" hidden="false" customHeight="false" outlineLevel="0" collapsed="false">
      <c r="A21" s="9" t="s">
        <v>148</v>
      </c>
      <c r="B21" s="26" t="n">
        <f aca="false">Inputs!B5</f>
        <v>314</v>
      </c>
      <c r="C21" s="27" t="n">
        <f aca="false">Inputs!B6</f>
        <v>0.29</v>
      </c>
      <c r="D21" s="27" t="n">
        <f aca="false">Inputs!B7</f>
        <v>0.66</v>
      </c>
      <c r="E21" s="27" t="n">
        <f aca="false">Inputs!B8</f>
        <v>0.2</v>
      </c>
      <c r="F21" s="28" t="n">
        <f aca="false">Inputs!B9</f>
        <v>0.004</v>
      </c>
      <c r="G21" s="27" t="n">
        <f aca="false">Inputs!B10</f>
        <v>0.12</v>
      </c>
      <c r="H21" s="27" t="n">
        <f aca="false">Inputs!B11</f>
        <v>0.08</v>
      </c>
      <c r="I21" s="27" t="n">
        <f aca="false">Inputs!B12</f>
        <v>0.15</v>
      </c>
      <c r="J21" s="26" t="n">
        <f aca="false">Inputs!B13</f>
        <v>4000</v>
      </c>
      <c r="K21" s="27" t="n">
        <f aca="false">Inputs!B14</f>
        <v>0.15</v>
      </c>
      <c r="L21" s="28" t="n">
        <f aca="false">Inputs!B15</f>
        <v>0.0002</v>
      </c>
      <c r="M21" s="13" t="n">
        <v>0.25</v>
      </c>
      <c r="N21" s="26" t="n">
        <f aca="false">Inputs!B17</f>
        <v>150000</v>
      </c>
      <c r="O21" s="27" t="n">
        <f aca="false">Inputs!B18</f>
        <v>0.05</v>
      </c>
      <c r="P21" s="20" t="n">
        <f aca="false">B21*C21*D21*(1+E21)*100000</f>
        <v>7211952</v>
      </c>
      <c r="Q21" s="20" t="n">
        <f aca="false">P21*F21</f>
        <v>28847.808</v>
      </c>
      <c r="R21" s="21" t="n">
        <f aca="false">MAX(0,1-G21-H21-I21-K21)</f>
        <v>0.5</v>
      </c>
      <c r="S21" s="22" t="n">
        <f aca="false">MIN(F21,300/N21)</f>
        <v>0.002</v>
      </c>
      <c r="T21" s="20" t="n">
        <f aca="false">P21*(I21*5/J21+K21*L21+R21*(1-O21)*((1-M21)*F21+M21*S21))</f>
        <v>13558.46976</v>
      </c>
    </row>
    <row r="22" customFormat="false" ht="15" hidden="false" customHeight="false" outlineLevel="0" collapsed="false">
      <c r="A22" s="9" t="s">
        <v>149</v>
      </c>
      <c r="B22" s="26" t="n">
        <f aca="false">Inputs!B5</f>
        <v>314</v>
      </c>
      <c r="C22" s="27" t="n">
        <f aca="false">Inputs!B6</f>
        <v>0.29</v>
      </c>
      <c r="D22" s="27" t="n">
        <f aca="false">Inputs!B7</f>
        <v>0.66</v>
      </c>
      <c r="E22" s="27" t="n">
        <f aca="false">Inputs!B8</f>
        <v>0.2</v>
      </c>
      <c r="F22" s="28" t="n">
        <f aca="false">Inputs!B9</f>
        <v>0.004</v>
      </c>
      <c r="G22" s="27" t="n">
        <f aca="false">Inputs!B10</f>
        <v>0.12</v>
      </c>
      <c r="H22" s="27" t="n">
        <f aca="false">Inputs!B11</f>
        <v>0.08</v>
      </c>
      <c r="I22" s="27" t="n">
        <f aca="false">Inputs!B12</f>
        <v>0.15</v>
      </c>
      <c r="J22" s="26" t="n">
        <f aca="false">Inputs!B13</f>
        <v>4000</v>
      </c>
      <c r="K22" s="27" t="n">
        <f aca="false">Inputs!B14</f>
        <v>0.15</v>
      </c>
      <c r="L22" s="28" t="n">
        <f aca="false">Inputs!B15</f>
        <v>0.0002</v>
      </c>
      <c r="M22" s="27" t="n">
        <f aca="false">Inputs!B16</f>
        <v>0.15</v>
      </c>
      <c r="N22" s="26" t="n">
        <f aca="false">Inputs!B17</f>
        <v>150000</v>
      </c>
      <c r="O22" s="13" t="n">
        <v>0</v>
      </c>
      <c r="P22" s="20" t="n">
        <f aca="false">B22*C22*D22*(1+E22)*100000</f>
        <v>7211952</v>
      </c>
      <c r="Q22" s="20" t="n">
        <f aca="false">P22*F22</f>
        <v>28847.808</v>
      </c>
      <c r="R22" s="21" t="n">
        <f aca="false">MAX(0,1-G22-H22-I22-K22)</f>
        <v>0.5</v>
      </c>
      <c r="S22" s="22" t="n">
        <f aca="false">MIN(F22,300/N22)</f>
        <v>0.002</v>
      </c>
      <c r="T22" s="20" t="n">
        <f aca="false">P22*(I22*5/J22+K22*L22+R22*(1-O22)*((1-M22)*F22+M22*S22))</f>
        <v>14910.71076</v>
      </c>
    </row>
    <row r="23" customFormat="false" ht="15" hidden="false" customHeight="false" outlineLevel="0" collapsed="false">
      <c r="A23" s="9" t="s">
        <v>150</v>
      </c>
      <c r="B23" s="26" t="n">
        <f aca="false">Inputs!B5</f>
        <v>314</v>
      </c>
      <c r="C23" s="27" t="n">
        <f aca="false">Inputs!B6</f>
        <v>0.29</v>
      </c>
      <c r="D23" s="27" t="n">
        <f aca="false">Inputs!B7</f>
        <v>0.66</v>
      </c>
      <c r="E23" s="27" t="n">
        <f aca="false">Inputs!B8</f>
        <v>0.2</v>
      </c>
      <c r="F23" s="28" t="n">
        <f aca="false">Inputs!B9</f>
        <v>0.004</v>
      </c>
      <c r="G23" s="27" t="n">
        <f aca="false">Inputs!B10</f>
        <v>0.12</v>
      </c>
      <c r="H23" s="27" t="n">
        <f aca="false">Inputs!B11</f>
        <v>0.08</v>
      </c>
      <c r="I23" s="27" t="n">
        <f aca="false">Inputs!B12</f>
        <v>0.15</v>
      </c>
      <c r="J23" s="26" t="n">
        <f aca="false">Inputs!B13</f>
        <v>4000</v>
      </c>
      <c r="K23" s="27" t="n">
        <f aca="false">Inputs!B14</f>
        <v>0.15</v>
      </c>
      <c r="L23" s="28" t="n">
        <f aca="false">Inputs!B15</f>
        <v>0.0002</v>
      </c>
      <c r="M23" s="27" t="n">
        <f aca="false">Inputs!B16</f>
        <v>0.15</v>
      </c>
      <c r="N23" s="26" t="n">
        <f aca="false">Inputs!B17</f>
        <v>150000</v>
      </c>
      <c r="O23" s="13" t="n">
        <v>0.15</v>
      </c>
      <c r="P23" s="20" t="n">
        <f aca="false">B23*C23*D23*(1+E23)*100000</f>
        <v>7211952</v>
      </c>
      <c r="Q23" s="20" t="n">
        <f aca="false">P23*F23</f>
        <v>28847.808</v>
      </c>
      <c r="R23" s="21" t="n">
        <f aca="false">MAX(0,1-G23-H23-I23-K23)</f>
        <v>0.5</v>
      </c>
      <c r="S23" s="22" t="n">
        <f aca="false">MIN(F23,300/N23)</f>
        <v>0.002</v>
      </c>
      <c r="T23" s="20" t="n">
        <f aca="false">P23*(I23*5/J23+K23*L23+R23*(1-O23)*((1-M23)*F23+M23*S23))</f>
        <v>12909.39408</v>
      </c>
    </row>
    <row r="24" customFormat="false" ht="15" hidden="false" customHeight="false" outlineLevel="0" collapsed="false">
      <c r="A24" s="9" t="s">
        <v>151</v>
      </c>
      <c r="B24" s="26" t="n">
        <f aca="false">Inputs!B5</f>
        <v>314</v>
      </c>
      <c r="C24" s="27" t="n">
        <f aca="false">Inputs!B6</f>
        <v>0.29</v>
      </c>
      <c r="D24" s="27" t="n">
        <f aca="false">Inputs!B7</f>
        <v>0.66</v>
      </c>
      <c r="E24" s="13" t="n">
        <v>0.12</v>
      </c>
      <c r="F24" s="28" t="n">
        <f aca="false">Inputs!B9</f>
        <v>0.004</v>
      </c>
      <c r="G24" s="27" t="n">
        <f aca="false">Inputs!B10</f>
        <v>0.12</v>
      </c>
      <c r="H24" s="27" t="n">
        <f aca="false">Inputs!B11</f>
        <v>0.08</v>
      </c>
      <c r="I24" s="27" t="n">
        <f aca="false">Inputs!B12</f>
        <v>0.15</v>
      </c>
      <c r="J24" s="26" t="n">
        <f aca="false">Inputs!B13</f>
        <v>4000</v>
      </c>
      <c r="K24" s="27" t="n">
        <f aca="false">Inputs!B14</f>
        <v>0.15</v>
      </c>
      <c r="L24" s="28" t="n">
        <f aca="false">Inputs!B15</f>
        <v>0.0002</v>
      </c>
      <c r="M24" s="27" t="n">
        <f aca="false">Inputs!B16</f>
        <v>0.15</v>
      </c>
      <c r="N24" s="26" t="n">
        <f aca="false">Inputs!B17</f>
        <v>150000</v>
      </c>
      <c r="O24" s="27" t="n">
        <f aca="false">Inputs!B18</f>
        <v>0.05</v>
      </c>
      <c r="P24" s="20" t="n">
        <f aca="false">B24*C24*D24*(1+E24)*100000</f>
        <v>6731155.2</v>
      </c>
      <c r="Q24" s="20" t="n">
        <f aca="false">P24*F24</f>
        <v>26924.6208</v>
      </c>
      <c r="R24" s="21" t="n">
        <f aca="false">MAX(0,1-G24-H24-I24-K24)</f>
        <v>0.5</v>
      </c>
      <c r="S24" s="22" t="n">
        <f aca="false">MIN(F24,300/N24)</f>
        <v>0.002</v>
      </c>
      <c r="T24" s="20" t="n">
        <f aca="false">P24*(I24*5/J24+K24*L24+R24*(1-O24)*((1-M24)*F24+M24*S24))</f>
        <v>13294.03152</v>
      </c>
    </row>
    <row r="25" customFormat="false" ht="15" hidden="false" customHeight="false" outlineLevel="0" collapsed="false">
      <c r="A25" s="9" t="s">
        <v>152</v>
      </c>
      <c r="B25" s="26" t="n">
        <f aca="false">Inputs!B5</f>
        <v>314</v>
      </c>
      <c r="C25" s="27" t="n">
        <f aca="false">Inputs!B6</f>
        <v>0.29</v>
      </c>
      <c r="D25" s="27" t="n">
        <f aca="false">Inputs!B7</f>
        <v>0.66</v>
      </c>
      <c r="E25" s="13" t="n">
        <v>0.28</v>
      </c>
      <c r="F25" s="28" t="n">
        <f aca="false">Inputs!B9</f>
        <v>0.004</v>
      </c>
      <c r="G25" s="27" t="n">
        <f aca="false">Inputs!B10</f>
        <v>0.12</v>
      </c>
      <c r="H25" s="27" t="n">
        <f aca="false">Inputs!B11</f>
        <v>0.08</v>
      </c>
      <c r="I25" s="27" t="n">
        <f aca="false">Inputs!B12</f>
        <v>0.15</v>
      </c>
      <c r="J25" s="26" t="n">
        <f aca="false">Inputs!B13</f>
        <v>4000</v>
      </c>
      <c r="K25" s="27" t="n">
        <f aca="false">Inputs!B14</f>
        <v>0.15</v>
      </c>
      <c r="L25" s="28" t="n">
        <f aca="false">Inputs!B15</f>
        <v>0.0002</v>
      </c>
      <c r="M25" s="27" t="n">
        <f aca="false">Inputs!B16</f>
        <v>0.15</v>
      </c>
      <c r="N25" s="26" t="n">
        <f aca="false">Inputs!B17</f>
        <v>150000</v>
      </c>
      <c r="O25" s="27" t="n">
        <f aca="false">Inputs!B18</f>
        <v>0.05</v>
      </c>
      <c r="P25" s="20" t="n">
        <f aca="false">B25*C25*D25*(1+E25)*100000</f>
        <v>7692748.8</v>
      </c>
      <c r="Q25" s="20" t="n">
        <f aca="false">P25*F25</f>
        <v>30770.9952</v>
      </c>
      <c r="R25" s="21" t="n">
        <f aca="false">MAX(0,1-G25-H25-I25-K25)</f>
        <v>0.5</v>
      </c>
      <c r="S25" s="22" t="n">
        <f aca="false">MIN(F25,300/N25)</f>
        <v>0.002</v>
      </c>
      <c r="T25" s="20" t="n">
        <f aca="false">P25*(I25*5/J25+K25*L25+R25*(1-O25)*((1-M25)*F25+M25*S25))</f>
        <v>15193.17888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6" t="s">
        <v>153</v>
      </c>
    </row>
    <row r="3" customFormat="false" ht="23.85" hidden="false" customHeight="false" outlineLevel="0" collapsed="false">
      <c r="A3" s="10" t="s">
        <v>154</v>
      </c>
      <c r="B3" s="10" t="s">
        <v>155</v>
      </c>
      <c r="C3" s="10" t="s">
        <v>156</v>
      </c>
      <c r="D3" s="10" t="s">
        <v>157</v>
      </c>
      <c r="E3" s="10" t="s">
        <v>158</v>
      </c>
      <c r="F3" s="10" t="s">
        <v>159</v>
      </c>
      <c r="G3" s="10" t="s">
        <v>160</v>
      </c>
    </row>
    <row r="4" customFormat="false" ht="15" hidden="false" customHeight="false" outlineLevel="0" collapsed="false">
      <c r="A4" s="9" t="s">
        <v>31</v>
      </c>
      <c r="B4" s="27" t="n">
        <f aca="false">Cases!D10</f>
        <v>0.6</v>
      </c>
      <c r="C4" s="27" t="n">
        <f aca="false">Cases!D11</f>
        <v>0.72</v>
      </c>
      <c r="D4" s="26" t="n">
        <f aca="false">Cases!T10</f>
        <v>12948.732</v>
      </c>
      <c r="E4" s="26" t="n">
        <f aca="false">Cases!T11</f>
        <v>15538.4784</v>
      </c>
      <c r="F4" s="29" t="n">
        <f aca="false">ABS(E4-D4)</f>
        <v>2589.7464</v>
      </c>
      <c r="G4" s="30" t="n">
        <f aca="false">RANK(F4,$F$4:$F$11)</f>
        <v>4</v>
      </c>
    </row>
    <row r="5" customFormat="false" ht="15" hidden="false" customHeight="false" outlineLevel="0" collapsed="false">
      <c r="A5" s="9" t="s">
        <v>161</v>
      </c>
      <c r="B5" s="27" t="n">
        <f aca="false">Cases!G12</f>
        <v>0.06</v>
      </c>
      <c r="C5" s="27" t="n">
        <f aca="false">Cases!G13</f>
        <v>0.2</v>
      </c>
      <c r="D5" s="26" t="n">
        <f aca="false">Cases!T12</f>
        <v>15764.6058768</v>
      </c>
      <c r="E5" s="26" t="n">
        <f aca="false">Cases!T13</f>
        <v>12215.6042976</v>
      </c>
      <c r="F5" s="29" t="n">
        <f aca="false">ABS(E5-D5)</f>
        <v>3549.00157919999</v>
      </c>
      <c r="G5" s="30" t="n">
        <f aca="false">RANK(F5,$F$4:$F$11)</f>
        <v>2</v>
      </c>
    </row>
    <row r="6" customFormat="false" ht="15" hidden="false" customHeight="false" outlineLevel="0" collapsed="false">
      <c r="A6" s="9" t="s">
        <v>162</v>
      </c>
      <c r="B6" s="27" t="n">
        <f aca="false">Cases!K14</f>
        <v>0.08</v>
      </c>
      <c r="C6" s="27" t="n">
        <f aca="false">Cases!K15</f>
        <v>0.25</v>
      </c>
      <c r="D6" s="26" t="n">
        <f aca="false">Cases!T14</f>
        <v>15917.1386616</v>
      </c>
      <c r="E6" s="26" t="n">
        <f aca="false">Cases!T15</f>
        <v>11852.843112</v>
      </c>
      <c r="F6" s="29" t="n">
        <f aca="false">ABS(E6-D6)</f>
        <v>4064.2955496</v>
      </c>
      <c r="G6" s="30" t="n">
        <f aca="false">RANK(F6,$F$4:$F$11)</f>
        <v>1</v>
      </c>
    </row>
    <row r="7" customFormat="false" ht="15" hidden="false" customHeight="false" outlineLevel="0" collapsed="false">
      <c r="A7" s="9" t="s">
        <v>163</v>
      </c>
      <c r="B7" s="27" t="n">
        <f aca="false">Cases!I16</f>
        <v>0.08</v>
      </c>
      <c r="C7" s="27" t="n">
        <f aca="false">Cases!I17</f>
        <v>0.25</v>
      </c>
      <c r="D7" s="26" t="n">
        <f aca="false">Cases!T16</f>
        <v>15387.0601896</v>
      </c>
      <c r="E7" s="26" t="n">
        <f aca="false">Cases!T17</f>
        <v>12610.098072</v>
      </c>
      <c r="F7" s="29" t="n">
        <f aca="false">ABS(E7-D7)</f>
        <v>2776.9621176</v>
      </c>
      <c r="G7" s="30" t="n">
        <f aca="false">RANK(F7,$F$4:$F$11)</f>
        <v>3</v>
      </c>
    </row>
    <row r="8" customFormat="false" ht="15" hidden="false" customHeight="false" outlineLevel="0" collapsed="false">
      <c r="A8" s="9" t="s">
        <v>164</v>
      </c>
      <c r="B8" s="27" t="n">
        <f aca="false">Cases!H18</f>
        <v>0.04</v>
      </c>
      <c r="C8" s="27" t="n">
        <f aca="false">Cases!H19</f>
        <v>0.14</v>
      </c>
      <c r="D8" s="26" t="n">
        <f aca="false">Cases!T18</f>
        <v>15257.6056512</v>
      </c>
      <c r="E8" s="26" t="n">
        <f aca="false">Cases!T19</f>
        <v>12722.6045232</v>
      </c>
      <c r="F8" s="29" t="n">
        <f aca="false">ABS(E8-D8)</f>
        <v>2535.001128</v>
      </c>
      <c r="G8" s="30" t="n">
        <f aca="false">RANK(F8,$F$4:$F$11)</f>
        <v>5</v>
      </c>
    </row>
    <row r="9" customFormat="false" ht="15" hidden="false" customHeight="false" outlineLevel="0" collapsed="false">
      <c r="A9" s="9" t="s">
        <v>165</v>
      </c>
      <c r="B9" s="27" t="n">
        <f aca="false">Cases!M20</f>
        <v>0.08</v>
      </c>
      <c r="C9" s="27" t="n">
        <f aca="false">Cases!M21</f>
        <v>0.25</v>
      </c>
      <c r="D9" s="26" t="n">
        <f aca="false">Cases!T20</f>
        <v>14723.200008</v>
      </c>
      <c r="E9" s="26" t="n">
        <f aca="false">Cases!T21</f>
        <v>13558.46976</v>
      </c>
      <c r="F9" s="29" t="n">
        <f aca="false">ABS(E9-D9)</f>
        <v>1164.730248</v>
      </c>
      <c r="G9" s="30" t="n">
        <f aca="false">RANK(F9,$F$4:$F$11)</f>
        <v>8</v>
      </c>
    </row>
    <row r="10" customFormat="false" ht="15" hidden="false" customHeight="false" outlineLevel="0" collapsed="false">
      <c r="A10" s="9" t="s">
        <v>91</v>
      </c>
      <c r="B10" s="27" t="n">
        <f aca="false">Cases!O22</f>
        <v>0</v>
      </c>
      <c r="C10" s="27" t="n">
        <f aca="false">Cases!O23</f>
        <v>0.15</v>
      </c>
      <c r="D10" s="26" t="n">
        <f aca="false">Cases!T22</f>
        <v>14910.71076</v>
      </c>
      <c r="E10" s="26" t="n">
        <f aca="false">Cases!T23</f>
        <v>12909.39408</v>
      </c>
      <c r="F10" s="29" t="n">
        <f aca="false">ABS(E10-D10)</f>
        <v>2001.31668</v>
      </c>
      <c r="G10" s="30" t="n">
        <f aca="false">RANK(F10,$F$4:$F$11)</f>
        <v>6</v>
      </c>
    </row>
    <row r="11" customFormat="false" ht="15" hidden="false" customHeight="false" outlineLevel="0" collapsed="false">
      <c r="A11" s="9" t="s">
        <v>33</v>
      </c>
      <c r="B11" s="27" t="n">
        <f aca="false">Cases!E24</f>
        <v>0.12</v>
      </c>
      <c r="C11" s="27" t="n">
        <f aca="false">Cases!E25</f>
        <v>0.28</v>
      </c>
      <c r="D11" s="26" t="n">
        <f aca="false">Cases!T24</f>
        <v>13294.03152</v>
      </c>
      <c r="E11" s="26" t="n">
        <f aca="false">Cases!T25</f>
        <v>15193.17888</v>
      </c>
      <c r="F11" s="29" t="n">
        <f aca="false">ABS(E11-D11)</f>
        <v>1899.14736</v>
      </c>
      <c r="G11" s="30" t="n">
        <f aca="false">RANK(F11,$F$4:$F$11)</f>
        <v>7</v>
      </c>
    </row>
    <row r="13" customFormat="false" ht="15" hidden="false" customHeight="false" outlineLevel="0" collapsed="false">
      <c r="A13" s="7" t="s">
        <v>166</v>
      </c>
      <c r="D13" s="26" t="n">
        <f aca="false">Cases!T6</f>
        <v>14243.6052</v>
      </c>
    </row>
    <row r="14" customFormat="false" ht="15" hidden="false" customHeight="false" outlineLevel="0" collapsed="false">
      <c r="A14" s="2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2026-10-23T02:03:53Z</dcterms:created>
  <dc:creator>openpyxl</dc:creator>
  <dc:description/>
  <dc:language>en-US</dc:language>
  <cp:lastModifiedBy/>
  <dcterms:modified xsi:type="dcterms:W3CDTF">2026-10-23T02:03:53Z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